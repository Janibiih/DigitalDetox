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https://d.docs.live.net/8cb82c0d681cde67/Dokumente/7.Semester/Praxisprojekt Digital Detox/"/>
    </mc:Choice>
  </mc:AlternateContent>
  <xr:revisionPtr revIDLastSave="10" documentId="13_ncr:1_{9E0B9964-474B-4B51-9EAE-7A85EF598421}" xr6:coauthVersionLast="47" xr6:coauthVersionMax="47" xr10:uidLastSave="{4B4039F0-C7A7-480E-AC2A-DA278DAEA208}"/>
  <bookViews>
    <workbookView xWindow="-98" yWindow="-98" windowWidth="21795" windowHeight="13875" xr2:uid="{00000000-000D-0000-FFFF-FFFF00000000}"/>
  </bookViews>
  <sheets>
    <sheet name="GanttChart" sheetId="9" r:id="rId1"/>
    <sheet name="GanttChartPro" sheetId="12" r:id="rId2"/>
    <sheet name="Help" sheetId="6" r:id="rId3"/>
    <sheet name="TermsOfUse" sheetId="11" r:id="rId4"/>
  </sheets>
  <definedNames>
    <definedName name="_xlnm.Print_Area" localSheetId="0">GanttChart!$A$1:$BN$32</definedName>
    <definedName name="_xlnm.Print_Area" localSheetId="1">GanttChartPro!$A$1:$C$47</definedName>
    <definedName name="_xlnm.Print_Titles" localSheetId="0">GanttChart!$4:$7</definedName>
    <definedName name="prevWBS" localSheetId="0">GanttChart!$A1048576</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0" i="9" l="1"/>
  <c r="F15" i="9"/>
  <c r="F14" i="9"/>
  <c r="F9" i="9"/>
  <c r="A39" i="9"/>
  <c r="I32" i="9" l="1"/>
  <c r="I31" i="9"/>
  <c r="F36" i="9" l="1"/>
  <c r="F37" i="9" s="1"/>
  <c r="I37" i="9" s="1"/>
  <c r="F35" i="9"/>
  <c r="I35" i="9" s="1"/>
  <c r="F8" i="9"/>
  <c r="I8" i="9" s="1"/>
  <c r="F25" i="9"/>
  <c r="I25" i="9" s="1"/>
  <c r="I20" i="9"/>
  <c r="F16" i="9"/>
  <c r="I16" i="9" s="1"/>
  <c r="F38" i="9" l="1"/>
  <c r="I38" i="9" s="1"/>
  <c r="I36" i="9"/>
  <c r="F12" i="9" l="1"/>
  <c r="K6" i="9"/>
  <c r="F13" i="9" l="1"/>
  <c r="I13" i="9" s="1"/>
  <c r="I12" i="9"/>
  <c r="F10" i="9"/>
  <c r="I10" i="9" s="1"/>
  <c r="I9" i="9"/>
  <c r="I14" i="9"/>
  <c r="K7" i="9"/>
  <c r="K4" i="9"/>
  <c r="A8" i="9"/>
  <c r="A35" i="9"/>
  <c r="A36" i="9" s="1"/>
  <c r="A37" i="9" s="1"/>
  <c r="A38" i="9" s="1"/>
  <c r="L6" i="9" l="1"/>
  <c r="F18" i="9" l="1"/>
  <c r="I18" i="9" s="1"/>
  <c r="F17" i="9"/>
  <c r="I17" i="9" s="1"/>
  <c r="F22" i="9"/>
  <c r="I22" i="9" s="1"/>
  <c r="F21" i="9"/>
  <c r="I21" i="9" s="1"/>
  <c r="F27" i="9"/>
  <c r="I27" i="9" s="1"/>
  <c r="F26" i="9"/>
  <c r="I26" i="9" s="1"/>
  <c r="M6" i="9"/>
  <c r="F23" i="9"/>
  <c r="I23" i="9" s="1"/>
  <c r="F28" i="9" l="1"/>
  <c r="I28" i="9" s="1"/>
  <c r="N6" i="9"/>
  <c r="F29" i="9" l="1"/>
  <c r="I29" i="9" s="1"/>
  <c r="F24" i="9"/>
  <c r="I24" i="9" s="1"/>
  <c r="O6" i="9"/>
  <c r="I15" i="9"/>
  <c r="K5" i="9"/>
  <c r="F30" i="9" l="1"/>
  <c r="I30" i="9" s="1"/>
  <c r="F11" i="9"/>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s="1"/>
  <c r="A16" i="9" s="1"/>
  <c r="A17" i="9" s="1"/>
  <c r="A18" i="9" s="1"/>
  <c r="A19" i="9" l="1"/>
  <c r="A20" i="9" s="1"/>
  <c r="A21" i="9" s="1"/>
  <c r="A22" i="9" s="1"/>
  <c r="A23" i="9" s="1"/>
  <c r="A24" i="9" s="1"/>
  <c r="F19" i="9" l="1"/>
  <c r="A25" i="9"/>
  <c r="A26" i="9" s="1"/>
  <c r="A27" i="9" s="1"/>
  <c r="A28" i="9" s="1"/>
  <c r="A29" i="9" s="1"/>
  <c r="A30" i="9" s="1"/>
  <c r="I19"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<sst xmlns="http://schemas.openxmlformats.org/spreadsheetml/2006/main" count="172" uniqueCount="163">
  <si>
    <t>WBS</t>
  </si>
  <si>
    <t>TEMPLATE ROWS</t>
  </si>
  <si>
    <t>Input Cell</t>
  </si>
  <si>
    <t>Label</t>
  </si>
  <si>
    <t>Getting Started Tips</t>
  </si>
  <si>
    <t>FAQs</t>
  </si>
  <si>
    <t>Q:</t>
  </si>
  <si>
    <t>Creating Task Dependencies</t>
  </si>
  <si>
    <t>[Name]</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</si>
  <si>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</si>
  <si>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</si>
  <si>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</si>
  <si>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</si>
  <si>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</si>
  <si>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</si>
  <si>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</si>
  <si>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</si>
  <si>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</si>
  <si>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</si>
  <si>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</si>
  <si>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</si>
  <si>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</si>
  <si>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</si>
  <si>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</si>
  <si>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</si>
  <si>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</si>
  <si>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</si>
  <si>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</si>
  <si>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</si>
  <si>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</si>
  <si>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</si>
  <si>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</si>
  <si>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</si>
  <si>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</si>
  <si>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</si>
  <si>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</si>
  <si>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</si>
  <si>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</si>
  <si>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See the Help worksheet to learn how to use these rows. You can hide these rows before printing.</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</si>
  <si>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</si>
  <si>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</si>
  <si>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</si>
  <si>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</si>
  <si>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</si>
  <si>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</si>
  <si>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</si>
  <si>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</si>
  <si>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</si>
  <si>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</si>
  <si>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</si>
  <si>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</si>
  <si>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</si>
  <si>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</si>
  <si>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</si>
  <si>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</si>
  <si>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</si>
  <si>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</si>
  <si>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</si>
  <si>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</si>
  <si>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</si>
  <si>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</si>
  <si>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</si>
  <si>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 xml:space="preserve"> . [ Level 2 Task ]</t>
  </si>
  <si>
    <t xml:space="preserve"> . . [ Level 3 Task ]</t>
  </si>
  <si>
    <t xml:space="preserve"> . . . [ Level 4 Task ]</t>
  </si>
  <si>
    <t>TASK</t>
  </si>
  <si>
    <t>LEAD</t>
  </si>
  <si>
    <t>START</t>
  </si>
  <si>
    <t>END</t>
  </si>
  <si>
    <t>DAYS</t>
  </si>
  <si>
    <t>% DONE</t>
  </si>
  <si>
    <t>WORK DAYS</t>
  </si>
  <si>
    <t>PREDECESSOR</t>
  </si>
  <si>
    <t xml:space="preserve">Display Week </t>
  </si>
  <si>
    <t xml:space="preserve">Project Start Date </t>
  </si>
  <si>
    <t xml:space="preserve">Project Lead </t>
  </si>
  <si>
    <t>[ Level 1 Task or Phase ]</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</si>
  <si>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</si>
  <si>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</si>
  <si>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</si>
  <si>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</si>
  <si>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</si>
  <si>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</si>
  <si>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</si>
  <si>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</si>
  <si>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</si>
  <si>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</si>
  <si>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</si>
  <si>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</si>
  <si>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</si>
  <si>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</si>
  <si>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</si>
  <si>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</si>
  <si>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</si>
  <si>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</si>
  <si>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</si>
  <si>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</si>
  <si>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</si>
  <si>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</si>
  <si>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</si>
  <si>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</si>
  <si>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</si>
  <si>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</si>
  <si>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</si>
  <si>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</si>
  <si>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</si>
  <si>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</si>
  <si>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</si>
  <si>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</si>
  <si>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</si>
  <si>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</si>
  <si>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</si>
  <si>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</si>
  <si>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</si>
  <si>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</si>
  <si>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</si>
  <si>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</si>
  <si>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</si>
  <si>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</si>
  <si>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</si>
  <si>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</si>
  <si>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</si>
  <si>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</si>
  <si>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</si>
  <si>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</si>
  <si>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</si>
  <si>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</si>
  <si>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</si>
  <si>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</si>
  <si>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</si>
  <si>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</si>
  <si>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</si>
  <si>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</si>
  <si>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</si>
  <si>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</si>
  <si>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 2006-2025 Vertex42 LLC</t>
  </si>
  <si>
    <r>
      <rPr>
        <i/>
        <u/>
        <sz val="8"/>
        <color theme="0" tint="-0.34998626667073579"/>
        <rFont val="Arial"/>
        <family val="2"/>
      </rPr>
      <t>Gantt Chart Template</t>
    </r>
    <r>
      <rPr>
        <i/>
        <sz val="8"/>
        <color theme="0" tint="-0.34998626667073579"/>
        <rFont val="Arial"/>
        <family val="2"/>
      </rPr>
      <t xml:space="preserve"> © 2006-2025 by Vertex42.com.</t>
    </r>
  </si>
  <si>
    <t>Theortische Einarbeitung</t>
  </si>
  <si>
    <t>Contextual Inquiry</t>
  </si>
  <si>
    <t xml:space="preserve">Einarbeitung in bisherige Ausarbeitungen; Auseinandersetzung mit der Detoxi App </t>
  </si>
  <si>
    <t>Ableitung erster Ideen </t>
  </si>
  <si>
    <t>Konkretisierung der Ideen &amp; weitere Recherche </t>
  </si>
  <si>
    <t>Steakholder identifizieren  </t>
  </si>
  <si>
    <t>Interviewfragen formulieren &amp; Interviews </t>
  </si>
  <si>
    <t>Methoden zu Verhaltensänderung wählen </t>
  </si>
  <si>
    <t>Festlegung der App-Anforderungen </t>
  </si>
  <si>
    <t>Value Specification</t>
  </si>
  <si>
    <t>Personas erstellen </t>
  </si>
  <si>
    <t>Nutzungskontextanalyse</t>
  </si>
  <si>
    <t>Design</t>
  </si>
  <si>
    <t>Visuelle Gestaltung erster Anforderungen </t>
  </si>
  <si>
    <t>Iterative Ausarbeitung des Prototyps &amp; Korrekturschleifen </t>
  </si>
  <si>
    <t>Feedback einholen/Expertenkomitee? </t>
  </si>
  <si>
    <t>Feedback umsetzen </t>
  </si>
  <si>
    <t>Abschlussbericht</t>
  </si>
  <si>
    <t>Abschlusspräsentation fertigstellen </t>
  </si>
  <si>
    <t>Abschlusspräsentation </t>
  </si>
  <si>
    <t>Projektbericht schreiben </t>
  </si>
  <si>
    <t>Korrekturschleife &amp; Fertigstellen </t>
  </si>
  <si>
    <t>Abgabe Abschlussbericht &amp; Prototyp </t>
  </si>
  <si>
    <t>Digital Detox Praxisprojekt</t>
  </si>
  <si>
    <t>Malte, Shari, Maire , Jan</t>
  </si>
  <si>
    <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</si>
</sst>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73" x14ac:knownFonts="1">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b/>
      <sz val="11"/>
      <color rgb="FF000000"/>
      <name val="Arial"/>
      <family val="2"/>
      <scheme val="minor"/>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i/>
      <sz val="8"/>
      <color theme="0" tint="-0.34998626667073579"/>
      <name val="Arial"/>
      <family val="2"/>
    </font>
    <font>
      <i/>
      <u/>
      <sz val="8"/>
      <color theme="0" tint="-0.34998626667073579"/>
      <name val="Arial"/>
      <family val="2"/>
    </font>
    <font>
      <sz val="12"/>
      <color rgb="FF000000"/>
      <name val="Aptos"/>
      <family val="2"/>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right/>
      <top style="thin">
        <color rgb="FFEFEFEF"/>
      </top>
      <bottom/>
      <diagonal/>
    </border>
  </borders>
  <cellStyleXfs count="44">
    <xf numFmtId="0" fontId="0" fillId="0" borderId="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2"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8"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0"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5" fillId="17" borderId="1" applyNumberFormat="0" applyAlignment="0" applyProtection="0"/>
    <xf numFmtId="0" fontId="16" fillId="18" borderId="2" applyNumberFormat="0" applyAlignment="0" applyProtection="0"/>
    <xf numFmtId="0" fontId="17" fillId="0" borderId="0" applyNumberFormat="0" applyFill="0" applyBorder="0" applyAlignment="0" applyProtection="0"/>
    <xf numFmtId="0" fontId="18" fillId="19"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 fillId="0" borderId="0" applyNumberFormat="0" applyFill="0" applyBorder="0" applyAlignment="0" applyProtection="0">
      <alignment vertical="top"/>
      <protection locked="0"/>
    </xf>
    <xf numFmtId="0" fontId="22" fillId="11" borderId="1" applyNumberFormat="0" applyAlignment="0" applyProtection="0"/>
    <xf numFmtId="0" fontId="23" fillId="0" borderId="6" applyNumberFormat="0" applyFill="0" applyAlignment="0" applyProtection="0"/>
    <xf numFmtId="0" fontId="24" fillId="5" borderId="0" applyNumberFormat="0" applyBorder="0" applyAlignment="0" applyProtection="0"/>
    <xf numFmtId="0" fontId="6" fillId="5" borderId="7" applyNumberFormat="0" applyFont="0" applyAlignment="0" applyProtection="0"/>
    <xf numFmtId="0" fontId="25" fillId="17" borderId="8" applyNumberFormat="0" applyAlignment="0" applyProtection="0"/>
    <xf numFmtId="9" fontId="1" fillId="0" borderId="0" applyFon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144">
    <xf numFmtId="0" fontId="0" fillId="0" borderId="0" xfId="0"/>
    <xf numFmtId="0" fontId="0" fillId="20" borderId="0" xfId="0" applyFill="1"/>
    <xf numFmtId="0" fontId="1" fillId="0" borderId="0" xfId="0" applyFont="1"/>
    <xf numFmtId="0" fontId="3" fillId="0" borderId="0" xfId="0" applyFont="1" applyAlignment="1">
      <alignment horizontal="right"/>
    </xf>
    <xf numFmtId="0" fontId="7" fillId="0" borderId="0" xfId="0" applyFont="1"/>
    <xf numFmtId="0" fontId="1" fillId="0" borderId="0" xfId="0" applyFont="1" applyAlignment="1">
      <alignment horizontal="left" wrapText="1" indent="1"/>
    </xf>
    <xf numFmtId="0" fontId="1" fillId="0" borderId="14" xfId="0" applyFont="1" applyBorder="1"/>
    <xf numFmtId="0" fontId="0" fillId="0" borderId="14" xfId="0" applyBorder="1"/>
    <xf numFmtId="0" fontId="29" fillId="0" borderId="14" xfId="0" applyFont="1" applyBorder="1" applyAlignment="1">
      <alignment horizontal="left" wrapText="1"/>
    </xf>
    <xf numFmtId="0" fontId="5" fillId="0" borderId="14" xfId="0" applyFont="1" applyBorder="1" applyAlignment="1">
      <alignment horizontal="left" wrapText="1"/>
    </xf>
    <xf numFmtId="0" fontId="29" fillId="0" borderId="14" xfId="0" applyFont="1" applyBorder="1" applyAlignment="1">
      <alignment horizontal="left"/>
    </xf>
    <xf numFmtId="0" fontId="3" fillId="0" borderId="0" xfId="0" applyFont="1" applyAlignment="1">
      <alignment wrapText="1"/>
    </xf>
    <xf numFmtId="0" fontId="10" fillId="0" borderId="0" xfId="0" applyFont="1" applyProtection="1">
      <protection locked="0"/>
    </xf>
    <xf numFmtId="0" fontId="34" fillId="0" borderId="0" xfId="34" applyFont="1" applyAlignment="1" applyProtection="1"/>
    <xf numFmtId="0" fontId="35" fillId="0" borderId="0" xfId="0" applyFont="1"/>
    <xf numFmtId="0" fontId="36" fillId="0" borderId="0" xfId="0" applyFont="1"/>
    <xf numFmtId="0" fontId="33" fillId="0" borderId="0" xfId="0" applyFont="1"/>
    <xf numFmtId="0" fontId="3" fillId="0" borderId="0" xfId="0" applyFont="1" applyAlignment="1">
      <alignment horizontal="left" vertical="center"/>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32" fillId="0" borderId="0" xfId="0" applyFont="1" applyAlignment="1">
      <alignment vertical="center"/>
    </xf>
    <xf numFmtId="0" fontId="29" fillId="0" borderId="15" xfId="0" applyFont="1" applyBorder="1" applyAlignment="1">
      <alignment horizontal="left" wrapText="1"/>
    </xf>
    <xf numFmtId="0" fontId="30" fillId="0" borderId="14" xfId="34" applyFont="1" applyBorder="1" applyAlignment="1" applyProtection="1">
      <alignment horizontal="left" wrapText="1"/>
    </xf>
    <xf numFmtId="0" fontId="37" fillId="0" borderId="15" xfId="34" applyFont="1" applyBorder="1" applyAlignment="1" applyProtection="1">
      <alignment wrapText="1"/>
    </xf>
    <xf numFmtId="0" fontId="32" fillId="0" borderId="0" xfId="0" applyFont="1" applyAlignment="1">
      <alignment horizontal="left" vertical="center"/>
    </xf>
    <xf numFmtId="0" fontId="31" fillId="0" borderId="0" xfId="0" applyFont="1" applyAlignment="1">
      <alignment horizontal="left" vertical="center"/>
    </xf>
    <xf numFmtId="0" fontId="1" fillId="0" borderId="15" xfId="0" applyFont="1" applyBorder="1"/>
    <xf numFmtId="0" fontId="0" fillId="0" borderId="15" xfId="0" applyBorder="1"/>
    <xf numFmtId="0" fontId="29" fillId="0" borderId="0" xfId="0" applyFont="1" applyAlignment="1">
      <alignment horizontal="left" wrapText="1"/>
    </xf>
    <xf numFmtId="0" fontId="9" fillId="0" borderId="0" xfId="0" applyFont="1" applyAlignment="1" applyProtection="1">
      <alignment vertical="center"/>
      <protection locked="0"/>
    </xf>
    <xf numFmtId="0" fontId="43" fillId="0" borderId="0" xfId="0" applyFont="1"/>
    <xf numFmtId="0" fontId="44" fillId="0" borderId="0" xfId="0" applyFont="1" applyAlignment="1" applyProtection="1">
      <alignment vertical="center"/>
      <protection locked="0"/>
    </xf>
    <xf numFmtId="0" fontId="46" fillId="24" borderId="10" xfId="0" applyFont="1" applyFill="1" applyBorder="1" applyAlignment="1">
      <alignment horizontal="left" vertical="center"/>
    </xf>
    <xf numFmtId="0" fontId="46" fillId="24" borderId="10" xfId="0" applyFont="1" applyFill="1" applyBorder="1" applyAlignment="1">
      <alignment vertical="center"/>
    </xf>
    <xf numFmtId="0" fontId="42" fillId="24" borderId="10" xfId="0" applyFont="1" applyFill="1" applyBorder="1" applyAlignment="1">
      <alignment vertical="center"/>
    </xf>
    <xf numFmtId="0" fontId="42" fillId="24" borderId="10" xfId="0" applyFont="1" applyFill="1" applyBorder="1" applyAlignment="1">
      <alignment horizontal="center" vertical="center"/>
    </xf>
    <xf numFmtId="1" fontId="42" fillId="24" borderId="10" xfId="40" applyNumberFormat="1" applyFont="1" applyFill="1" applyBorder="1" applyAlignment="1" applyProtection="1">
      <alignment horizontal="center" vertical="center"/>
    </xf>
    <xf numFmtId="9" fontId="42" fillId="24" borderId="10" xfId="40" applyFont="1" applyFill="1" applyBorder="1" applyAlignment="1" applyProtection="1">
      <alignment horizontal="center" vertical="center"/>
    </xf>
    <xf numFmtId="1" fontId="42" fillId="24" borderId="10" xfId="0" applyNumberFormat="1" applyFont="1" applyFill="1" applyBorder="1" applyAlignment="1">
      <alignment horizontal="center" vertical="center"/>
    </xf>
    <xf numFmtId="0" fontId="42" fillId="0" borderId="10" xfId="0" applyFont="1" applyBorder="1" applyAlignment="1">
      <alignment horizontal="left" vertical="center"/>
    </xf>
    <xf numFmtId="0" fontId="42" fillId="0" borderId="10" xfId="0" applyFont="1" applyBorder="1" applyAlignment="1">
      <alignment vertical="center"/>
    </xf>
    <xf numFmtId="1" fontId="47" fillId="26" borderId="12" xfId="0" applyNumberFormat="1" applyFont="1" applyFill="1" applyBorder="1" applyAlignment="1">
      <alignment horizontal="center" vertical="center"/>
    </xf>
    <xf numFmtId="9" fontId="47" fillId="26" borderId="12" xfId="40" applyFont="1" applyFill="1" applyBorder="1" applyAlignment="1" applyProtection="1">
      <alignment horizontal="center" vertical="center"/>
    </xf>
    <xf numFmtId="1" fontId="47" fillId="0" borderId="12" xfId="0" applyNumberFormat="1" applyFont="1" applyBorder="1" applyAlignment="1">
      <alignment horizontal="center" vertical="center"/>
    </xf>
    <xf numFmtId="0" fontId="48" fillId="0" borderId="10" xfId="0" applyFont="1" applyBorder="1" applyAlignment="1">
      <alignment vertical="center"/>
    </xf>
    <xf numFmtId="0" fontId="42" fillId="0" borderId="10" xfId="0" applyFont="1" applyBorder="1" applyAlignment="1">
      <alignment horizontal="center" vertical="center"/>
    </xf>
    <xf numFmtId="1" fontId="42" fillId="0" borderId="10" xfId="40" applyNumberFormat="1" applyFont="1" applyFill="1" applyBorder="1" applyAlignment="1" applyProtection="1">
      <alignment horizontal="center" vertical="center"/>
    </xf>
    <xf numFmtId="9" fontId="42" fillId="0" borderId="10" xfId="40" applyFont="1" applyFill="1" applyBorder="1" applyAlignment="1" applyProtection="1">
      <alignment horizontal="center" vertical="center"/>
    </xf>
    <xf numFmtId="1" fontId="42" fillId="0" borderId="10" xfId="0" applyNumberFormat="1" applyFont="1" applyBorder="1" applyAlignment="1">
      <alignment horizontal="center" vertical="center"/>
    </xf>
    <xf numFmtId="0" fontId="42" fillId="0" borderId="0" xfId="0" applyFont="1" applyAlignment="1">
      <alignment vertical="center"/>
    </xf>
    <xf numFmtId="0" fontId="49" fillId="23" borderId="0" xfId="0" applyFont="1" applyFill="1" applyAlignment="1">
      <alignment vertical="center"/>
    </xf>
    <xf numFmtId="0" fontId="45" fillId="24" borderId="0" xfId="0" applyFont="1" applyFill="1" applyAlignment="1">
      <alignment vertical="center"/>
    </xf>
    <xf numFmtId="0" fontId="50" fillId="23" borderId="0" xfId="0" applyFont="1" applyFill="1" applyAlignment="1">
      <alignment vertical="center"/>
    </xf>
    <xf numFmtId="0" fontId="51" fillId="24" borderId="0" xfId="0" applyFont="1" applyFill="1" applyAlignment="1">
      <alignment vertical="center"/>
    </xf>
    <xf numFmtId="0" fontId="51" fillId="0" borderId="0" xfId="0" applyFont="1" applyAlignment="1">
      <alignment vertical="center"/>
    </xf>
    <xf numFmtId="0" fontId="47" fillId="23" borderId="0" xfId="0" applyFont="1" applyFill="1" applyAlignment="1">
      <alignment vertical="center"/>
    </xf>
    <xf numFmtId="0" fontId="42" fillId="24" borderId="0" xfId="0" applyFont="1" applyFill="1" applyAlignment="1">
      <alignment vertical="center"/>
    </xf>
    <xf numFmtId="0" fontId="47" fillId="22" borderId="11" xfId="0" applyFont="1" applyFill="1" applyBorder="1" applyAlignment="1">
      <alignment vertical="center"/>
    </xf>
    <xf numFmtId="0" fontId="47" fillId="0" borderId="12" xfId="0" quotePrefix="1" applyFont="1" applyBorder="1" applyAlignment="1">
      <alignment horizontal="center" vertical="center"/>
    </xf>
    <xf numFmtId="0" fontId="47" fillId="0" borderId="12" xfId="0" applyFont="1" applyBorder="1" applyAlignment="1">
      <alignment vertical="center"/>
    </xf>
    <xf numFmtId="0" fontId="47" fillId="0" borderId="12" xfId="0" applyFont="1" applyBorder="1" applyAlignment="1">
      <alignment horizontal="left" vertical="center"/>
    </xf>
    <xf numFmtId="166" fontId="3" fillId="0" borderId="13" xfId="0" applyNumberFormat="1" applyFont="1" applyBorder="1" applyAlignment="1">
      <alignment horizontal="center" vertical="center" shrinkToFit="1"/>
    </xf>
    <xf numFmtId="0" fontId="46" fillId="24" borderId="16" xfId="0" applyFont="1" applyFill="1" applyBorder="1" applyAlignment="1">
      <alignment horizontal="left" vertical="center"/>
    </xf>
    <xf numFmtId="0" fontId="46" fillId="24" borderId="16" xfId="0" applyFont="1" applyFill="1" applyBorder="1" applyAlignment="1">
      <alignment vertical="center"/>
    </xf>
    <xf numFmtId="0" fontId="42" fillId="24" borderId="16" xfId="0" applyFont="1" applyFill="1" applyBorder="1" applyAlignment="1">
      <alignment vertical="center"/>
    </xf>
    <xf numFmtId="0" fontId="42" fillId="24" borderId="16" xfId="0" applyFont="1" applyFill="1" applyBorder="1" applyAlignment="1">
      <alignment horizontal="center" vertical="center"/>
    </xf>
    <xf numFmtId="165" fontId="42" fillId="24" borderId="16" xfId="0" applyNumberFormat="1" applyFont="1" applyFill="1" applyBorder="1" applyAlignment="1">
      <alignment horizontal="right" vertical="center"/>
    </xf>
    <xf numFmtId="1" fontId="42" fillId="24" borderId="16" xfId="40" applyNumberFormat="1" applyFont="1" applyFill="1" applyBorder="1" applyAlignment="1" applyProtection="1">
      <alignment horizontal="center" vertical="center"/>
    </xf>
    <xf numFmtId="9" fontId="42" fillId="24" borderId="16" xfId="40" applyFont="1" applyFill="1" applyBorder="1" applyAlignment="1" applyProtection="1">
      <alignment horizontal="center" vertical="center"/>
    </xf>
    <xf numFmtId="1" fontId="42" fillId="24" borderId="16" xfId="0" applyNumberFormat="1" applyFont="1" applyFill="1" applyBorder="1" applyAlignment="1">
      <alignment horizontal="center" vertical="center"/>
    </xf>
    <xf numFmtId="166" fontId="3" fillId="0" borderId="18" xfId="0" applyNumberFormat="1" applyFont="1" applyBorder="1" applyAlignment="1">
      <alignment horizontal="center" vertical="center" shrinkToFit="1"/>
    </xf>
    <xf numFmtId="166" fontId="3" fillId="0" borderId="19" xfId="0" applyNumberFormat="1" applyFont="1" applyBorder="1" applyAlignment="1">
      <alignment horizontal="center" vertical="center" shrinkToFit="1"/>
    </xf>
    <xf numFmtId="1" fontId="53" fillId="24" borderId="16" xfId="0" applyNumberFormat="1" applyFont="1" applyFill="1" applyBorder="1" applyAlignment="1">
      <alignment horizontal="center" vertical="center"/>
    </xf>
    <xf numFmtId="1" fontId="54" fillId="0" borderId="12" xfId="0" applyNumberFormat="1" applyFont="1" applyBorder="1" applyAlignment="1">
      <alignment horizontal="center" vertical="center"/>
    </xf>
    <xf numFmtId="1" fontId="53" fillId="24" borderId="10" xfId="0" applyNumberFormat="1" applyFont="1" applyFill="1" applyBorder="1" applyAlignment="1">
      <alignment horizontal="center" vertical="center"/>
    </xf>
    <xf numFmtId="1" fontId="53" fillId="0" borderId="10" xfId="0" applyNumberFormat="1" applyFont="1" applyBorder="1" applyAlignment="1">
      <alignment horizontal="center" vertical="center"/>
    </xf>
    <xf numFmtId="0" fontId="53" fillId="24" borderId="0" xfId="0" applyFont="1" applyFill="1" applyAlignment="1">
      <alignment vertical="center"/>
    </xf>
    <xf numFmtId="165" fontId="47" fillId="25" borderId="12" xfId="0" applyNumberFormat="1" applyFont="1" applyFill="1" applyBorder="1" applyAlignment="1">
      <alignment horizontal="center" vertical="center"/>
    </xf>
    <xf numFmtId="165" fontId="47" fillId="0" borderId="12" xfId="0" applyNumberFormat="1" applyFont="1" applyBorder="1" applyAlignment="1">
      <alignment horizontal="center" vertical="center"/>
    </xf>
    <xf numFmtId="165" fontId="42" fillId="24" borderId="10" xfId="0" applyNumberFormat="1" applyFont="1" applyFill="1" applyBorder="1" applyAlignment="1">
      <alignment horizontal="center" vertical="center"/>
    </xf>
    <xf numFmtId="0" fontId="48" fillId="0" borderId="10" xfId="0" applyFont="1" applyBorder="1" applyAlignment="1">
      <alignment horizontal="center" vertical="center"/>
    </xf>
    <xf numFmtId="0" fontId="50" fillId="23" borderId="0" xfId="0" applyFont="1" applyFill="1" applyAlignment="1">
      <alignment horizontal="center" vertical="center"/>
    </xf>
    <xf numFmtId="0" fontId="42" fillId="24" borderId="0" xfId="0" applyFont="1" applyFill="1" applyAlignment="1">
      <alignment horizontal="center" vertical="center"/>
    </xf>
    <xf numFmtId="0" fontId="42" fillId="24" borderId="16" xfId="0" applyFont="1" applyFill="1" applyBorder="1" applyAlignment="1">
      <alignment horizontal="left" vertical="center"/>
    </xf>
    <xf numFmtId="9" fontId="42" fillId="0" borderId="10" xfId="0" applyNumberFormat="1" applyFont="1" applyBorder="1" applyAlignment="1">
      <alignment horizontal="left" vertical="center"/>
    </xf>
    <xf numFmtId="0" fontId="42" fillId="24" borderId="10" xfId="0" applyFont="1" applyFill="1" applyBorder="1" applyAlignment="1">
      <alignment horizontal="left" vertical="center"/>
    </xf>
    <xf numFmtId="0" fontId="55" fillId="0" borderId="0" xfId="0" applyFont="1"/>
    <xf numFmtId="0" fontId="55" fillId="0" borderId="0" xfId="0" applyFont="1" applyAlignment="1">
      <alignment horizontal="right" vertical="center"/>
    </xf>
    <xf numFmtId="165" fontId="42" fillId="24" borderId="16" xfId="0" applyNumberFormat="1" applyFont="1" applyFill="1" applyBorder="1" applyAlignment="1">
      <alignment horizontal="center" vertical="center"/>
    </xf>
    <xf numFmtId="0" fontId="56" fillId="0" borderId="20" xfId="0" applyFont="1" applyBorder="1" applyAlignment="1">
      <alignment horizontal="left" vertical="center"/>
    </xf>
    <xf numFmtId="0" fontId="56" fillId="0" borderId="20" xfId="0" applyFont="1" applyBorder="1" applyAlignment="1">
      <alignment horizontal="center" vertical="center" wrapText="1"/>
    </xf>
    <xf numFmtId="0" fontId="57" fillId="0" borderId="20" xfId="0" applyFont="1" applyBorder="1" applyAlignment="1">
      <alignment horizontal="center" vertical="center" wrapText="1"/>
    </xf>
    <xf numFmtId="0" fontId="56" fillId="0" borderId="20" xfId="0" applyFont="1" applyBorder="1" applyAlignment="1">
      <alignment horizontal="center" vertical="center"/>
    </xf>
    <xf numFmtId="0" fontId="42" fillId="0" borderId="21" xfId="0" applyFont="1" applyBorder="1" applyAlignment="1">
      <alignment horizontal="center" vertical="center" shrinkToFit="1"/>
    </xf>
    <xf numFmtId="0" fontId="42" fillId="0" borderId="22" xfId="0" applyFont="1" applyBorder="1" applyAlignment="1">
      <alignment horizontal="center" vertical="center" shrinkToFit="1"/>
    </xf>
    <xf numFmtId="0" fontId="42" fillId="0" borderId="23" xfId="0" applyFont="1" applyBorder="1" applyAlignment="1">
      <alignment horizontal="center" vertical="center" shrinkToFit="1"/>
    </xf>
    <xf numFmtId="0" fontId="58" fillId="0" borderId="0" xfId="0" applyFont="1" applyAlignment="1" applyProtection="1">
      <alignment vertical="center"/>
      <protection locked="0"/>
    </xf>
    <xf numFmtId="0" fontId="42" fillId="0" borderId="10" xfId="0" applyFont="1" applyBorder="1" applyAlignment="1">
      <alignment vertical="center" wrapText="1"/>
    </xf>
    <xf numFmtId="0" fontId="47" fillId="0" borderId="12" xfId="0" applyFont="1" applyBorder="1" applyAlignment="1">
      <alignment horizontal="center" vertical="center"/>
    </xf>
    <xf numFmtId="0" fontId="45" fillId="0" borderId="24" xfId="0" applyFont="1" applyBorder="1" applyAlignment="1" applyProtection="1">
      <alignment horizontal="center" vertical="center"/>
      <protection locked="0"/>
    </xf>
    <xf numFmtId="0" fontId="46" fillId="0" borderId="10" xfId="0" applyFont="1" applyBorder="1" applyAlignment="1">
      <alignment horizontal="left" vertical="center"/>
    </xf>
    <xf numFmtId="0" fontId="59" fillId="22" borderId="11" xfId="0" applyFont="1" applyFill="1" applyBorder="1" applyAlignment="1">
      <alignment vertical="center"/>
    </xf>
    <xf numFmtId="0" fontId="1" fillId="0" borderId="0" xfId="0" applyFont="1" applyAlignment="1">
      <alignment horizontal="right" vertical="center"/>
    </xf>
    <xf numFmtId="0" fontId="60" fillId="0" borderId="0" xfId="0" applyFont="1"/>
    <xf numFmtId="0" fontId="1" fillId="0" borderId="0" xfId="0" applyFont="1" applyAlignment="1">
      <alignment vertical="center"/>
    </xf>
    <xf numFmtId="0" fontId="1" fillId="26" borderId="0" xfId="0" applyFont="1" applyFill="1" applyAlignment="1">
      <alignment horizontal="center" vertical="center"/>
    </xf>
    <xf numFmtId="0" fontId="1" fillId="21" borderId="0" xfId="0" applyFont="1" applyFill="1" applyAlignment="1">
      <alignment horizontal="center" vertical="center"/>
    </xf>
    <xf numFmtId="0" fontId="61" fillId="0" borderId="0" xfId="0" applyFont="1" applyAlignment="1">
      <alignment wrapText="1"/>
    </xf>
    <xf numFmtId="0" fontId="37" fillId="0" borderId="0" xfId="34" applyFont="1" applyAlignment="1" applyProtection="1"/>
    <xf numFmtId="0" fontId="61" fillId="0" borderId="0" xfId="0" applyFont="1" applyAlignment="1">
      <alignment horizontal="left" wrapText="1"/>
    </xf>
    <xf numFmtId="0" fontId="61" fillId="0" borderId="0" xfId="0" applyFont="1" applyAlignment="1">
      <alignment vertical="center" wrapText="1"/>
    </xf>
    <xf numFmtId="0" fontId="62" fillId="0" borderId="0" xfId="0" applyFont="1" applyAlignment="1">
      <alignment vertical="center"/>
    </xf>
    <xf numFmtId="0" fontId="62" fillId="0" borderId="0" xfId="0" applyFont="1"/>
    <xf numFmtId="0" fontId="63" fillId="0" borderId="0" xfId="0" applyFont="1" applyAlignment="1">
      <alignment vertical="center" wrapText="1"/>
    </xf>
    <xf numFmtId="0" fontId="37" fillId="0" borderId="0" xfId="34" applyFont="1" applyFill="1" applyBorder="1" applyAlignment="1" applyProtection="1">
      <alignment vertical="center"/>
    </xf>
    <xf numFmtId="0" fontId="65" fillId="0" borderId="0" xfId="0" applyFont="1" applyAlignment="1">
      <alignment horizontal="right"/>
    </xf>
    <xf numFmtId="0" fontId="61" fillId="0" borderId="0" xfId="0" applyFont="1"/>
    <xf numFmtId="0" fontId="61" fillId="0" borderId="0" xfId="0" applyFont="1" applyAlignment="1">
      <alignment horizontal="left" indent="1"/>
    </xf>
    <xf numFmtId="0" fontId="61" fillId="0" borderId="0" xfId="0" quotePrefix="1" applyFont="1" applyAlignment="1">
      <alignment horizontal="left" wrapText="1" indent="1"/>
    </xf>
    <xf numFmtId="0" fontId="36" fillId="0" borderId="0" xfId="0" quotePrefix="1" applyFont="1" applyAlignment="1">
      <alignment horizontal="left" indent="1"/>
    </xf>
    <xf numFmtId="0" fontId="65" fillId="0" borderId="0" xfId="0" applyFont="1" applyAlignment="1">
      <alignment horizontal="left" wrapText="1"/>
    </xf>
    <xf numFmtId="0" fontId="61" fillId="0" borderId="0" xfId="0" applyFont="1" applyAlignment="1">
      <alignment horizontal="left" vertical="center" wrapText="1"/>
    </xf>
    <xf numFmtId="0" fontId="67" fillId="0" borderId="0" xfId="0" applyFont="1" applyAlignment="1">
      <alignment horizontal="right"/>
    </xf>
    <xf numFmtId="0" fontId="68" fillId="0" borderId="0" xfId="0" applyFont="1" applyAlignment="1">
      <alignment vertical="center" wrapText="1"/>
    </xf>
    <xf numFmtId="0" fontId="61" fillId="0" borderId="0" xfId="0" quotePrefix="1" applyFont="1" applyAlignment="1">
      <alignment wrapText="1"/>
    </xf>
    <xf numFmtId="0" fontId="68" fillId="0" borderId="0" xfId="0" applyFont="1"/>
    <xf numFmtId="0" fontId="11" fillId="0" borderId="0" xfId="0" applyFont="1" applyProtection="1">
      <protection locked="0"/>
    </xf>
    <xf numFmtId="0" fontId="67" fillId="0" borderId="0" xfId="0" applyFont="1"/>
    <xf numFmtId="0" fontId="2" fillId="0" borderId="0" xfId="34" applyNumberFormat="1" applyFill="1" applyBorder="1" applyAlignment="1" applyProtection="1"/>
    <xf numFmtId="0" fontId="72" fillId="0" borderId="0" xfId="0" applyFont="1"/>
    <xf numFmtId="165" fontId="47" fillId="25" borderId="0" xfId="0" applyNumberFormat="1" applyFont="1" applyFill="1" applyAlignment="1">
      <alignment horizontal="center" vertical="center"/>
    </xf>
    <xf numFmtId="1" fontId="47" fillId="26" borderId="0" xfId="0" applyNumberFormat="1" applyFont="1" applyFill="1" applyAlignment="1">
      <alignment horizontal="center" vertical="center"/>
    </xf>
    <xf numFmtId="165" fontId="47" fillId="0" borderId="25" xfId="0" applyNumberFormat="1" applyFont="1" applyBorder="1" applyAlignment="1">
      <alignment horizontal="center" vertical="center"/>
    </xf>
    <xf numFmtId="0" fontId="70" fillId="0" borderId="0" xfId="34" applyFont="1" applyBorder="1" applyAlignment="1" applyProtection="1">
      <alignment horizontal="left" vertical="center"/>
    </xf>
    <xf numFmtId="164" fontId="45" fillId="0" borderId="17" xfId="0" applyNumberFormat="1" applyFont="1" applyBorder="1" applyAlignment="1" applyProtection="1">
      <alignment horizontal="center" vertical="center" shrinkToFit="1"/>
      <protection locked="0"/>
    </xf>
    <xf numFmtId="0" fontId="52" fillId="0" borderId="18" xfId="0" applyFont="1" applyBorder="1" applyAlignment="1">
      <alignment horizontal="center" vertical="center"/>
    </xf>
    <xf numFmtId="0" fontId="52" fillId="0" borderId="13" xfId="0" applyFont="1" applyBorder="1" applyAlignment="1">
      <alignment horizontal="center" vertical="center"/>
    </xf>
    <xf numFmtId="0" fontId="52" fillId="0" borderId="19" xfId="0" applyFont="1" applyBorder="1" applyAlignment="1">
      <alignment horizontal="center" vertical="center"/>
    </xf>
    <xf numFmtId="164" fontId="45" fillId="0" borderId="24" xfId="0" applyNumberFormat="1" applyFont="1" applyBorder="1" applyAlignment="1" applyProtection="1">
      <alignment horizontal="center" vertical="center" shrinkToFit="1"/>
      <protection locked="0"/>
    </xf>
    <xf numFmtId="167" fontId="45" fillId="0" borderId="18" xfId="0" applyNumberFormat="1" applyFont="1" applyBorder="1" applyAlignment="1">
      <alignment horizontal="center" vertical="center"/>
    </xf>
    <xf numFmtId="167" fontId="45" fillId="0" borderId="13" xfId="0" applyNumberFormat="1" applyFont="1" applyBorder="1" applyAlignment="1">
      <alignment horizontal="center" vertical="center"/>
    </xf>
    <xf numFmtId="167" fontId="45" fillId="0" borderId="19" xfId="0" applyNumberFormat="1" applyFont="1" applyBorder="1" applyAlignment="1">
      <alignment horizontal="center" vertical="center"/>
    </xf>
    <xf numFmtId="0" fontId="60" fillId="0" borderId="0" xfId="0" applyFont="1" applyAlignment="1">
      <alignment horizontal="left"/>
    </xf>
  </cellXfs>
  <cellStyles count="44">
    <cellStyle name="20 % - Akzent1" xfId="1" builtinId="30" customBuiltin="1"/>
    <cellStyle name="20 % - Akzent2" xfId="2" builtinId="34" customBuiltin="1"/>
    <cellStyle name="20 % - Akzent3" xfId="3" builtinId="38" customBuiltin="1"/>
    <cellStyle name="20 % - Akzent4" xfId="4" builtinId="42" customBuiltin="1"/>
    <cellStyle name="20 % - Akzent5" xfId="5" builtinId="46" customBuiltin="1"/>
    <cellStyle name="20 % - Akzent6" xfId="6" builtinId="50" customBuiltin="1"/>
    <cellStyle name="40 % - Akzent1" xfId="7" builtinId="31" customBuiltin="1"/>
    <cellStyle name="40 % - Akzent2" xfId="8" builtinId="35" customBuiltin="1"/>
    <cellStyle name="40 % - Akzent3" xfId="9" builtinId="39" customBuiltin="1"/>
    <cellStyle name="40 % - Akzent4" xfId="10" builtinId="43" customBuiltin="1"/>
    <cellStyle name="40 % - Akzent5" xfId="11" builtinId="47" customBuiltin="1"/>
    <cellStyle name="40 % - Akzent6" xfId="12" builtinId="51" customBuiltin="1"/>
    <cellStyle name="60 % - Akzent1" xfId="13" builtinId="32" customBuiltin="1"/>
    <cellStyle name="60 % - Akzent2" xfId="14" builtinId="36" customBuiltin="1"/>
    <cellStyle name="60 % - Akzent3" xfId="15" builtinId="40" customBuiltin="1"/>
    <cellStyle name="60 % - Akzent4" xfId="16" builtinId="44" customBuiltin="1"/>
    <cellStyle name="60 % - Akzent5" xfId="17" builtinId="48" customBuiltin="1"/>
    <cellStyle name="60 % - Akzent6" xfId="18" builtinId="52" customBuiltin="1"/>
    <cellStyle name="Akzent1" xfId="19" builtinId="29" customBuiltin="1"/>
    <cellStyle name="Akzent2" xfId="20" builtinId="33" customBuiltin="1"/>
    <cellStyle name="Akzent3" xfId="21" builtinId="37" customBuiltin="1"/>
    <cellStyle name="Akzent4" xfId="22" builtinId="41" customBuiltin="1"/>
    <cellStyle name="Akzent5" xfId="23" builtinId="45" customBuiltin="1"/>
    <cellStyle name="Akzent6" xfId="24" builtinId="49" customBuiltin="1"/>
    <cellStyle name="Ausgabe" xfId="39" builtinId="21" customBuiltin="1"/>
    <cellStyle name="Berechnung" xfId="26" builtinId="22" customBuiltin="1"/>
    <cellStyle name="Eingabe" xfId="35" builtinId="20" customBuiltin="1"/>
    <cellStyle name="Ergebnis" xfId="42" builtinId="25" customBuiltin="1"/>
    <cellStyle name="Erklärender Text" xfId="28" builtinId="53" customBuiltin="1"/>
    <cellStyle name="Gut" xfId="29" builtinId="26" customBuiltin="1"/>
    <cellStyle name="Link" xfId="34" builtinId="8"/>
    <cellStyle name="Neutral" xfId="37" builtinId="28" customBuiltin="1"/>
    <cellStyle name="Notiz" xfId="38" builtinId="10" customBuiltin="1"/>
    <cellStyle name="Prozent" xfId="40" builtinId="5"/>
    <cellStyle name="Schlecht" xfId="25" builtinId="27" customBuiltin="1"/>
    <cellStyle name="Standard" xfId="0" builtinId="0"/>
    <cellStyle name="Überschrift" xfId="41" builtinId="15" customBuiltin="1"/>
    <cellStyle name="Überschrift 1" xfId="30" builtinId="16" customBuiltin="1"/>
    <cellStyle name="Überschrift 2" xfId="31" builtinId="17" customBuiltin="1"/>
    <cellStyle name="Überschrift 3" xfId="32" builtinId="18" customBuiltin="1"/>
    <cellStyle name="Überschrift 4" xfId="33" builtinId="19" customBuiltin="1"/>
    <cellStyle name="Verknüpfte Zelle" xfId="36" builtinId="24" customBuiltin="1"/>
    <cellStyle name="Warnender Text" xfId="43" builtinId="11" customBuiltin="1"/>
    <cellStyle name="Zelle überprüfen" xfId="27" builtinId="23"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H$4" horiz="1" max="100" min="1" page="0" val="13"/>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9</xdr:row>
      <xdr:rowOff>299508</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39"/>
  <sheetViews>
    <sheetView showGridLines="0" tabSelected="1" zoomScaleNormal="100" workbookViewId="0">
      <pane ySplit="7" topLeftCell="A18" activePane="bottomLeft" state="frozen"/>
      <selection pane="bottomLeft" activeCell="V23" sqref="V23"/>
    </sheetView>
  </sheetViews>
  <sheetFormatPr baseColWidth="10" defaultColWidth="9.1328125" defaultRowHeight="12.75" x14ac:dyDescent="0.35"/>
  <cols>
    <col min="1" max="1" width="6.86328125" customWidth="1"/>
    <col min="2" max="2" width="19" customWidth="1"/>
    <col min="3" max="3" width="7.73046875" customWidth="1"/>
    <col min="4" max="4" width="6.86328125" hidden="1" customWidth="1"/>
    <col min="5" max="6" width="12" customWidth="1"/>
    <col min="7" max="7" width="6" customWidth="1"/>
    <col min="8" max="8" width="6.73046875" customWidth="1"/>
    <col min="9" max="9" width="6.3984375" customWidth="1"/>
    <col min="10" max="10" width="1.86328125" customWidth="1"/>
    <col min="11" max="66" width="2.3984375" customWidth="1"/>
  </cols>
  <sheetData>
    <row r="1" spans="1:66" ht="30" customHeight="1" x14ac:dyDescent="0.35">
      <c r="A1" s="97" t="s">
        <v>160</v>
      </c>
      <c r="B1" s="30"/>
      <c r="C1" s="30"/>
      <c r="D1" s="30"/>
      <c r="E1" s="30"/>
      <c r="F1" s="30"/>
      <c r="I1" s="103"/>
      <c r="K1" s="134" t="s">
        <v>136</v>
      </c>
      <c r="L1" s="134"/>
      <c r="M1" s="134"/>
      <c r="N1" s="134"/>
      <c r="O1" s="134"/>
      <c r="P1" s="134"/>
      <c r="Q1" s="134"/>
      <c r="R1" s="134"/>
      <c r="S1" s="134"/>
      <c r="T1" s="134"/>
      <c r="U1" s="134"/>
      <c r="V1" s="134"/>
      <c r="W1" s="134"/>
      <c r="X1" s="134"/>
      <c r="Y1" s="134"/>
      <c r="Z1" s="134"/>
      <c r="AA1" s="134"/>
      <c r="AB1" s="134"/>
      <c r="AC1" s="134"/>
      <c r="AD1" s="134"/>
      <c r="AE1" s="134"/>
    </row>
    <row r="2" spans="1:66" ht="18" customHeight="1" x14ac:dyDescent="0.35">
      <c r="A2" s="32" t="s">
        <v>161</v>
      </c>
      <c r="B2" s="12"/>
      <c r="C2" s="12"/>
      <c r="D2" s="20"/>
      <c r="E2" s="127"/>
      <c r="F2" s="127"/>
      <c r="H2" s="1"/>
    </row>
    <row r="3" spans="1:66" ht="13.5" x14ac:dyDescent="0.35">
      <c r="A3" s="32"/>
      <c r="B3" s="2"/>
      <c r="H3" s="1"/>
      <c r="K3" s="18"/>
      <c r="L3" s="18"/>
      <c r="M3" s="18"/>
      <c r="N3" s="18"/>
      <c r="O3" s="18"/>
      <c r="P3" s="18"/>
      <c r="Q3" s="18"/>
      <c r="R3" s="18"/>
      <c r="S3" s="18"/>
      <c r="T3" s="18"/>
      <c r="U3" s="18"/>
      <c r="V3" s="18"/>
      <c r="W3" s="18"/>
      <c r="X3" s="18"/>
      <c r="Y3" s="18"/>
      <c r="Z3" s="18"/>
      <c r="AA3" s="18"/>
    </row>
    <row r="4" spans="1:66" ht="17.25" customHeight="1" x14ac:dyDescent="0.35">
      <c r="A4" s="87"/>
      <c r="B4" s="88" t="s">
        <v>74</v>
      </c>
      <c r="C4" s="139">
        <v>45945</v>
      </c>
      <c r="D4" s="139"/>
      <c r="E4" s="139"/>
      <c r="F4" s="87"/>
      <c r="G4" s="88" t="s">
        <v>73</v>
      </c>
      <c r="H4" s="100">
        <v>13</v>
      </c>
      <c r="I4" s="2"/>
      <c r="J4" s="31"/>
      <c r="K4" s="136" t="str">
        <f>"Week "&amp;(K6-($C$4-WEEKDAY($C$4,1)+2))/7+1</f>
        <v>Week 13</v>
      </c>
      <c r="L4" s="137"/>
      <c r="M4" s="137"/>
      <c r="N4" s="137"/>
      <c r="O4" s="137"/>
      <c r="P4" s="137"/>
      <c r="Q4" s="138"/>
      <c r="R4" s="136" t="str">
        <f>"Week "&amp;(R6-($C$4-WEEKDAY($C$4,1)+2))/7+1</f>
        <v>Week 14</v>
      </c>
      <c r="S4" s="137"/>
      <c r="T4" s="137"/>
      <c r="U4" s="137"/>
      <c r="V4" s="137"/>
      <c r="W4" s="137"/>
      <c r="X4" s="138"/>
      <c r="Y4" s="136" t="str">
        <f>"Week "&amp;(Y6-($C$4-WEEKDAY($C$4,1)+2))/7+1</f>
        <v>Week 15</v>
      </c>
      <c r="Z4" s="137"/>
      <c r="AA4" s="137"/>
      <c r="AB4" s="137"/>
      <c r="AC4" s="137"/>
      <c r="AD4" s="137"/>
      <c r="AE4" s="138"/>
      <c r="AF4" s="136" t="str">
        <f>"Week "&amp;(AF6-($C$4-WEEKDAY($C$4,1)+2))/7+1</f>
        <v>Week 16</v>
      </c>
      <c r="AG4" s="137"/>
      <c r="AH4" s="137"/>
      <c r="AI4" s="137"/>
      <c r="AJ4" s="137"/>
      <c r="AK4" s="137"/>
      <c r="AL4" s="138"/>
      <c r="AM4" s="136" t="str">
        <f>"Week "&amp;(AM6-($C$4-WEEKDAY($C$4,1)+2))/7+1</f>
        <v>Week 17</v>
      </c>
      <c r="AN4" s="137"/>
      <c r="AO4" s="137"/>
      <c r="AP4" s="137"/>
      <c r="AQ4" s="137"/>
      <c r="AR4" s="137"/>
      <c r="AS4" s="138"/>
      <c r="AT4" s="136" t="str">
        <f>"Week "&amp;(AT6-($C$4-WEEKDAY($C$4,1)+2))/7+1</f>
        <v>Week 18</v>
      </c>
      <c r="AU4" s="137"/>
      <c r="AV4" s="137"/>
      <c r="AW4" s="137"/>
      <c r="AX4" s="137"/>
      <c r="AY4" s="137"/>
      <c r="AZ4" s="138"/>
      <c r="BA4" s="136" t="str">
        <f>"Week "&amp;(BA6-($C$4-WEEKDAY($C$4,1)+2))/7+1</f>
        <v>Week 19</v>
      </c>
      <c r="BB4" s="137"/>
      <c r="BC4" s="137"/>
      <c r="BD4" s="137"/>
      <c r="BE4" s="137"/>
      <c r="BF4" s="137"/>
      <c r="BG4" s="138"/>
      <c r="BH4" s="136" t="str">
        <f>"Week "&amp;(BH6-($C$4-WEEKDAY($C$4,1)+2))/7+1</f>
        <v>Week 20</v>
      </c>
      <c r="BI4" s="137"/>
      <c r="BJ4" s="137"/>
      <c r="BK4" s="137"/>
      <c r="BL4" s="137"/>
      <c r="BM4" s="137"/>
      <c r="BN4" s="138"/>
    </row>
    <row r="5" spans="1:66" ht="17.25" customHeight="1" x14ac:dyDescent="0.35">
      <c r="A5" s="87"/>
      <c r="B5" s="88" t="s">
        <v>75</v>
      </c>
      <c r="C5" s="135" t="s">
        <v>162</v>
      </c>
      <c r="D5" s="135"/>
      <c r="E5" s="135"/>
      <c r="F5" s="87"/>
      <c r="G5" s="87"/>
      <c r="H5" s="87"/>
      <c r="I5" s="87"/>
      <c r="J5" s="31"/>
      <c r="K5" s="140">
        <f>K6</f>
        <v>46027</v>
      </c>
      <c r="L5" s="141"/>
      <c r="M5" s="141"/>
      <c r="N5" s="141"/>
      <c r="O5" s="141"/>
      <c r="P5" s="141"/>
      <c r="Q5" s="142"/>
      <c r="R5" s="140">
        <f>R6</f>
        <v>46034</v>
      </c>
      <c r="S5" s="141"/>
      <c r="T5" s="141"/>
      <c r="U5" s="141"/>
      <c r="V5" s="141"/>
      <c r="W5" s="141"/>
      <c r="X5" s="142"/>
      <c r="Y5" s="140">
        <f>Y6</f>
        <v>46041</v>
      </c>
      <c r="Z5" s="141"/>
      <c r="AA5" s="141"/>
      <c r="AB5" s="141"/>
      <c r="AC5" s="141"/>
      <c r="AD5" s="141"/>
      <c r="AE5" s="142"/>
      <c r="AF5" s="140">
        <f>AF6</f>
        <v>46048</v>
      </c>
      <c r="AG5" s="141"/>
      <c r="AH5" s="141"/>
      <c r="AI5" s="141"/>
      <c r="AJ5" s="141"/>
      <c r="AK5" s="141"/>
      <c r="AL5" s="142"/>
      <c r="AM5" s="140">
        <f>AM6</f>
        <v>46055</v>
      </c>
      <c r="AN5" s="141"/>
      <c r="AO5" s="141"/>
      <c r="AP5" s="141"/>
      <c r="AQ5" s="141"/>
      <c r="AR5" s="141"/>
      <c r="AS5" s="142"/>
      <c r="AT5" s="140">
        <f>AT6</f>
        <v>46062</v>
      </c>
      <c r="AU5" s="141"/>
      <c r="AV5" s="141"/>
      <c r="AW5" s="141"/>
      <c r="AX5" s="141"/>
      <c r="AY5" s="141"/>
      <c r="AZ5" s="142"/>
      <c r="BA5" s="140">
        <f>BA6</f>
        <v>46069</v>
      </c>
      <c r="BB5" s="141"/>
      <c r="BC5" s="141"/>
      <c r="BD5" s="141"/>
      <c r="BE5" s="141"/>
      <c r="BF5" s="141"/>
      <c r="BG5" s="142"/>
      <c r="BH5" s="140">
        <f>BH6</f>
        <v>46076</v>
      </c>
      <c r="BI5" s="141"/>
      <c r="BJ5" s="141"/>
      <c r="BK5" s="141"/>
      <c r="BL5" s="141"/>
      <c r="BM5" s="141"/>
      <c r="BN5" s="142"/>
    </row>
    <row r="6" spans="1:66" x14ac:dyDescent="0.35">
      <c r="A6" s="31"/>
      <c r="B6" s="31"/>
      <c r="C6" s="31"/>
      <c r="D6" s="31"/>
      <c r="E6" s="31"/>
      <c r="F6" s="31"/>
      <c r="G6" s="31"/>
      <c r="H6" s="31"/>
      <c r="I6" s="31"/>
      <c r="J6" s="31"/>
      <c r="K6" s="71">
        <f>C4-WEEKDAY(C4,1)+2+7*(H4-1)</f>
        <v>46027</v>
      </c>
      <c r="L6" s="62">
        <f t="shared" ref="L6:AQ6" si="0">K6+1</f>
        <v>46028</v>
      </c>
      <c r="M6" s="62">
        <f t="shared" si="0"/>
        <v>46029</v>
      </c>
      <c r="N6" s="62">
        <f t="shared" si="0"/>
        <v>46030</v>
      </c>
      <c r="O6" s="62">
        <f t="shared" si="0"/>
        <v>46031</v>
      </c>
      <c r="P6" s="62">
        <f t="shared" si="0"/>
        <v>46032</v>
      </c>
      <c r="Q6" s="72">
        <f t="shared" si="0"/>
        <v>46033</v>
      </c>
      <c r="R6" s="71">
        <f t="shared" si="0"/>
        <v>46034</v>
      </c>
      <c r="S6" s="62">
        <f t="shared" si="0"/>
        <v>46035</v>
      </c>
      <c r="T6" s="62">
        <f t="shared" si="0"/>
        <v>46036</v>
      </c>
      <c r="U6" s="62">
        <f t="shared" si="0"/>
        <v>46037</v>
      </c>
      <c r="V6" s="62">
        <f t="shared" si="0"/>
        <v>46038</v>
      </c>
      <c r="W6" s="62">
        <f t="shared" si="0"/>
        <v>46039</v>
      </c>
      <c r="X6" s="72">
        <f t="shared" si="0"/>
        <v>46040</v>
      </c>
      <c r="Y6" s="71">
        <f t="shared" si="0"/>
        <v>46041</v>
      </c>
      <c r="Z6" s="62">
        <f t="shared" si="0"/>
        <v>46042</v>
      </c>
      <c r="AA6" s="62">
        <f t="shared" si="0"/>
        <v>46043</v>
      </c>
      <c r="AB6" s="62">
        <f t="shared" si="0"/>
        <v>46044</v>
      </c>
      <c r="AC6" s="62">
        <f t="shared" si="0"/>
        <v>46045</v>
      </c>
      <c r="AD6" s="62">
        <f t="shared" si="0"/>
        <v>46046</v>
      </c>
      <c r="AE6" s="72">
        <f t="shared" si="0"/>
        <v>46047</v>
      </c>
      <c r="AF6" s="71">
        <f t="shared" si="0"/>
        <v>46048</v>
      </c>
      <c r="AG6" s="62">
        <f t="shared" si="0"/>
        <v>46049</v>
      </c>
      <c r="AH6" s="62">
        <f t="shared" si="0"/>
        <v>46050</v>
      </c>
      <c r="AI6" s="62">
        <f t="shared" si="0"/>
        <v>46051</v>
      </c>
      <c r="AJ6" s="62">
        <f t="shared" si="0"/>
        <v>46052</v>
      </c>
      <c r="AK6" s="62">
        <f t="shared" si="0"/>
        <v>46053</v>
      </c>
      <c r="AL6" s="72">
        <f t="shared" si="0"/>
        <v>46054</v>
      </c>
      <c r="AM6" s="71">
        <f t="shared" si="0"/>
        <v>46055</v>
      </c>
      <c r="AN6" s="62">
        <f t="shared" si="0"/>
        <v>46056</v>
      </c>
      <c r="AO6" s="62">
        <f t="shared" si="0"/>
        <v>46057</v>
      </c>
      <c r="AP6" s="62">
        <f t="shared" si="0"/>
        <v>46058</v>
      </c>
      <c r="AQ6" s="62">
        <f t="shared" si="0"/>
        <v>46059</v>
      </c>
      <c r="AR6" s="62">
        <f t="shared" ref="AR6:BN6" si="1">AQ6+1</f>
        <v>46060</v>
      </c>
      <c r="AS6" s="72">
        <f t="shared" si="1"/>
        <v>46061</v>
      </c>
      <c r="AT6" s="71">
        <f t="shared" si="1"/>
        <v>46062</v>
      </c>
      <c r="AU6" s="62">
        <f t="shared" si="1"/>
        <v>46063</v>
      </c>
      <c r="AV6" s="62">
        <f t="shared" si="1"/>
        <v>46064</v>
      </c>
      <c r="AW6" s="62">
        <f t="shared" si="1"/>
        <v>46065</v>
      </c>
      <c r="AX6" s="62">
        <f t="shared" si="1"/>
        <v>46066</v>
      </c>
      <c r="AY6" s="62">
        <f t="shared" si="1"/>
        <v>46067</v>
      </c>
      <c r="AZ6" s="72">
        <f t="shared" si="1"/>
        <v>46068</v>
      </c>
      <c r="BA6" s="71">
        <f t="shared" si="1"/>
        <v>46069</v>
      </c>
      <c r="BB6" s="62">
        <f t="shared" si="1"/>
        <v>46070</v>
      </c>
      <c r="BC6" s="62">
        <f t="shared" si="1"/>
        <v>46071</v>
      </c>
      <c r="BD6" s="62">
        <f t="shared" si="1"/>
        <v>46072</v>
      </c>
      <c r="BE6" s="62">
        <f t="shared" si="1"/>
        <v>46073</v>
      </c>
      <c r="BF6" s="62">
        <f t="shared" si="1"/>
        <v>46074</v>
      </c>
      <c r="BG6" s="72">
        <f t="shared" si="1"/>
        <v>46075</v>
      </c>
      <c r="BH6" s="71">
        <f t="shared" si="1"/>
        <v>46076</v>
      </c>
      <c r="BI6" s="62">
        <f t="shared" si="1"/>
        <v>46077</v>
      </c>
      <c r="BJ6" s="62">
        <f t="shared" si="1"/>
        <v>46078</v>
      </c>
      <c r="BK6" s="62">
        <f t="shared" si="1"/>
        <v>46079</v>
      </c>
      <c r="BL6" s="62">
        <f t="shared" si="1"/>
        <v>46080</v>
      </c>
      <c r="BM6" s="62">
        <f t="shared" si="1"/>
        <v>46081</v>
      </c>
      <c r="BN6" s="72">
        <f t="shared" si="1"/>
        <v>46082</v>
      </c>
    </row>
    <row r="7" spans="1:66" s="2" customFormat="1" ht="23.65" thickBot="1" x14ac:dyDescent="0.4">
      <c r="A7" s="90" t="s">
        <v>0</v>
      </c>
      <c r="B7" s="90" t="s">
        <v>65</v>
      </c>
      <c r="C7" s="91" t="s">
        <v>66</v>
      </c>
      <c r="D7" s="92" t="s">
        <v>72</v>
      </c>
      <c r="E7" s="93" t="s">
        <v>67</v>
      </c>
      <c r="F7" s="93" t="s">
        <v>68</v>
      </c>
      <c r="G7" s="91" t="s">
        <v>69</v>
      </c>
      <c r="H7" s="91" t="s">
        <v>70</v>
      </c>
      <c r="I7" s="91" t="s">
        <v>71</v>
      </c>
      <c r="J7" s="91"/>
      <c r="K7" s="94" t="str">
        <f t="shared" ref="K7:AP7" si="2">CHOOSE(WEEKDAY(K6,1),"S","M","T","W","T","F","S")</f>
        <v>M</v>
      </c>
      <c r="L7" s="95" t="str">
        <f t="shared" si="2"/>
        <v>T</v>
      </c>
      <c r="M7" s="95" t="str">
        <f t="shared" si="2"/>
        <v>W</v>
      </c>
      <c r="N7" s="95" t="str">
        <f t="shared" si="2"/>
        <v>T</v>
      </c>
      <c r="O7" s="95" t="str">
        <f t="shared" si="2"/>
        <v>F</v>
      </c>
      <c r="P7" s="95" t="str">
        <f t="shared" si="2"/>
        <v>S</v>
      </c>
      <c r="Q7" s="96" t="str">
        <f t="shared" si="2"/>
        <v>S</v>
      </c>
      <c r="R7" s="94" t="str">
        <f t="shared" si="2"/>
        <v>M</v>
      </c>
      <c r="S7" s="95" t="str">
        <f t="shared" si="2"/>
        <v>T</v>
      </c>
      <c r="T7" s="95" t="str">
        <f t="shared" si="2"/>
        <v>W</v>
      </c>
      <c r="U7" s="95" t="str">
        <f t="shared" si="2"/>
        <v>T</v>
      </c>
      <c r="V7" s="95" t="str">
        <f t="shared" si="2"/>
        <v>F</v>
      </c>
      <c r="W7" s="95" t="str">
        <f t="shared" si="2"/>
        <v>S</v>
      </c>
      <c r="X7" s="96" t="str">
        <f t="shared" si="2"/>
        <v>S</v>
      </c>
      <c r="Y7" s="94" t="str">
        <f t="shared" si="2"/>
        <v>M</v>
      </c>
      <c r="Z7" s="95" t="str">
        <f t="shared" si="2"/>
        <v>T</v>
      </c>
      <c r="AA7" s="95" t="str">
        <f t="shared" si="2"/>
        <v>W</v>
      </c>
      <c r="AB7" s="95" t="str">
        <f t="shared" si="2"/>
        <v>T</v>
      </c>
      <c r="AC7" s="95" t="str">
        <f t="shared" si="2"/>
        <v>F</v>
      </c>
      <c r="AD7" s="95" t="str">
        <f t="shared" si="2"/>
        <v>S</v>
      </c>
      <c r="AE7" s="96" t="str">
        <f t="shared" si="2"/>
        <v>S</v>
      </c>
      <c r="AF7" s="94" t="str">
        <f t="shared" si="2"/>
        <v>M</v>
      </c>
      <c r="AG7" s="95" t="str">
        <f t="shared" si="2"/>
        <v>T</v>
      </c>
      <c r="AH7" s="95" t="str">
        <f t="shared" si="2"/>
        <v>W</v>
      </c>
      <c r="AI7" s="95" t="str">
        <f t="shared" si="2"/>
        <v>T</v>
      </c>
      <c r="AJ7" s="95" t="str">
        <f t="shared" si="2"/>
        <v>F</v>
      </c>
      <c r="AK7" s="95" t="str">
        <f t="shared" si="2"/>
        <v>S</v>
      </c>
      <c r="AL7" s="96" t="str">
        <f t="shared" si="2"/>
        <v>S</v>
      </c>
      <c r="AM7" s="94" t="str">
        <f t="shared" si="2"/>
        <v>M</v>
      </c>
      <c r="AN7" s="95" t="str">
        <f t="shared" si="2"/>
        <v>T</v>
      </c>
      <c r="AO7" s="95" t="str">
        <f t="shared" si="2"/>
        <v>W</v>
      </c>
      <c r="AP7" s="95" t="str">
        <f t="shared" si="2"/>
        <v>T</v>
      </c>
      <c r="AQ7" s="95" t="str">
        <f t="shared" ref="AQ7:BN7" si="3">CHOOSE(WEEKDAY(AQ6,1),"S","M","T","W","T","F","S")</f>
        <v>F</v>
      </c>
      <c r="AR7" s="95" t="str">
        <f t="shared" si="3"/>
        <v>S</v>
      </c>
      <c r="AS7" s="96" t="str">
        <f t="shared" si="3"/>
        <v>S</v>
      </c>
      <c r="AT7" s="94" t="str">
        <f t="shared" si="3"/>
        <v>M</v>
      </c>
      <c r="AU7" s="95" t="str">
        <f t="shared" si="3"/>
        <v>T</v>
      </c>
      <c r="AV7" s="95" t="str">
        <f t="shared" si="3"/>
        <v>W</v>
      </c>
      <c r="AW7" s="95" t="str">
        <f t="shared" si="3"/>
        <v>T</v>
      </c>
      <c r="AX7" s="95" t="str">
        <f t="shared" si="3"/>
        <v>F</v>
      </c>
      <c r="AY7" s="95" t="str">
        <f t="shared" si="3"/>
        <v>S</v>
      </c>
      <c r="AZ7" s="96" t="str">
        <f t="shared" si="3"/>
        <v>S</v>
      </c>
      <c r="BA7" s="94" t="str">
        <f t="shared" si="3"/>
        <v>M</v>
      </c>
      <c r="BB7" s="95" t="str">
        <f t="shared" si="3"/>
        <v>T</v>
      </c>
      <c r="BC7" s="95" t="str">
        <f t="shared" si="3"/>
        <v>W</v>
      </c>
      <c r="BD7" s="95" t="str">
        <f t="shared" si="3"/>
        <v>T</v>
      </c>
      <c r="BE7" s="95" t="str">
        <f t="shared" si="3"/>
        <v>F</v>
      </c>
      <c r="BF7" s="95" t="str">
        <f t="shared" si="3"/>
        <v>S</v>
      </c>
      <c r="BG7" s="96" t="str">
        <f t="shared" si="3"/>
        <v>S</v>
      </c>
      <c r="BH7" s="94" t="str">
        <f t="shared" si="3"/>
        <v>M</v>
      </c>
      <c r="BI7" s="95" t="str">
        <f t="shared" si="3"/>
        <v>T</v>
      </c>
      <c r="BJ7" s="95" t="str">
        <f t="shared" si="3"/>
        <v>W</v>
      </c>
      <c r="BK7" s="95" t="str">
        <f t="shared" si="3"/>
        <v>T</v>
      </c>
      <c r="BL7" s="95" t="str">
        <f t="shared" si="3"/>
        <v>F</v>
      </c>
      <c r="BM7" s="95" t="str">
        <f t="shared" si="3"/>
        <v>S</v>
      </c>
      <c r="BN7" s="96" t="str">
        <f t="shared" si="3"/>
        <v>S</v>
      </c>
    </row>
    <row r="8" spans="1:66" s="35" customFormat="1" ht="17.25" x14ac:dyDescent="0.35">
      <c r="A8" s="63" t="str">
        <f>IF(ISERROR(VALUE(SUBSTITUTE(prevWBS,".",""))),"1",IF(ISERROR(FIND("`",SUBSTITUTE(prevWBS,".","`",1))),TEXT(VALUE(prevWBS)+1,"#"),TEXT(VALUE(LEFT(prevWBS,FIND("`",SUBSTITUTE(prevWBS,".","`",1))-1))+1,"#")))</f>
        <v>1</v>
      </c>
      <c r="B8" s="64" t="s">
        <v>138</v>
      </c>
      <c r="C8" s="65"/>
      <c r="D8" s="66"/>
      <c r="E8" s="67">
        <v>45945</v>
      </c>
      <c r="F8" s="89">
        <f>IF(ISBLANK(E8)," - ",IF(G8=0,E8,E8+G8-1))</f>
        <v>45987</v>
      </c>
      <c r="G8" s="68">
        <v>43</v>
      </c>
      <c r="H8" s="69"/>
      <c r="I8" s="70">
        <f t="shared" ref="I8:I32" si="4">IF(OR(F8=0,E8=0)," - ",NETWORKDAYS(E8,F8))</f>
        <v>31</v>
      </c>
      <c r="J8" s="73"/>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4"/>
      <c r="BK8" s="84"/>
      <c r="BL8" s="84"/>
      <c r="BM8" s="84"/>
      <c r="BN8" s="84"/>
    </row>
    <row r="9" spans="1:66" s="41" customFormat="1" ht="17.25" x14ac:dyDescent="0.35">
      <c r="A9" s="40" t="str">
        <f t="shared" ref="A9:A15"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98" t="s">
        <v>137</v>
      </c>
      <c r="C9" s="41" t="s">
        <v>8</v>
      </c>
      <c r="D9" s="99"/>
      <c r="E9" s="78">
        <v>45945</v>
      </c>
      <c r="F9" s="79">
        <f>IF(ISBLANK(E9)," - ",IF(G9=0,E9,E9+G9-1))</f>
        <v>45966</v>
      </c>
      <c r="G9" s="42">
        <v>22</v>
      </c>
      <c r="H9" s="43">
        <v>1</v>
      </c>
      <c r="I9" s="44">
        <f t="shared" si="4"/>
        <v>16</v>
      </c>
      <c r="J9" s="74"/>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row>
    <row r="10" spans="1:66" s="41" customFormat="1" ht="46.5" x14ac:dyDescent="0.35">
      <c r="A10" s="40" t="str">
        <f t="shared" si="5"/>
        <v>1.2</v>
      </c>
      <c r="B10" s="98" t="s">
        <v>139</v>
      </c>
      <c r="D10" s="99"/>
      <c r="E10" s="78">
        <v>45952</v>
      </c>
      <c r="F10" s="79">
        <f t="shared" ref="F10:F30" si="6">IF(ISBLANK(E10)," - ",IF(G10=0,E10,E10+G10-1))</f>
        <v>45966</v>
      </c>
      <c r="G10" s="42">
        <v>15</v>
      </c>
      <c r="H10" s="43">
        <v>0.6</v>
      </c>
      <c r="I10" s="44">
        <f t="shared" si="4"/>
        <v>11</v>
      </c>
      <c r="J10" s="74"/>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row>
    <row r="11" spans="1:66" s="41" customFormat="1" ht="17.25" x14ac:dyDescent="0.35">
      <c r="A11" s="40" t="str">
        <f t="shared" si="5"/>
        <v>1.3</v>
      </c>
      <c r="B11" s="98" t="s">
        <v>140</v>
      </c>
      <c r="D11" s="99"/>
      <c r="E11" s="78">
        <v>45952</v>
      </c>
      <c r="F11" s="79">
        <f t="shared" si="6"/>
        <v>45966</v>
      </c>
      <c r="G11" s="42">
        <v>15</v>
      </c>
      <c r="H11" s="43">
        <v>0</v>
      </c>
      <c r="I11" s="44">
        <f t="shared" si="4"/>
        <v>11</v>
      </c>
      <c r="J11" s="74"/>
      <c r="K11" s="40"/>
      <c r="L11" s="40"/>
      <c r="M11" s="85"/>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row>
    <row r="12" spans="1:66" s="41" customFormat="1" ht="34.9" x14ac:dyDescent="0.35">
      <c r="A12" s="40" t="str">
        <f t="shared" si="5"/>
        <v>1.4</v>
      </c>
      <c r="B12" s="98" t="s">
        <v>141</v>
      </c>
      <c r="D12" s="99"/>
      <c r="E12" s="78">
        <v>45966</v>
      </c>
      <c r="F12" s="79">
        <f t="shared" si="6"/>
        <v>45973</v>
      </c>
      <c r="G12" s="42">
        <v>8</v>
      </c>
      <c r="H12" s="43">
        <v>0.75</v>
      </c>
      <c r="I12" s="44">
        <f t="shared" si="4"/>
        <v>6</v>
      </c>
      <c r="J12" s="74"/>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row>
    <row r="13" spans="1:66" s="41" customFormat="1" ht="23.25" x14ac:dyDescent="0.35">
      <c r="A13" s="40" t="str">
        <f t="shared" si="5"/>
        <v>1.5</v>
      </c>
      <c r="B13" s="98" t="s">
        <v>142</v>
      </c>
      <c r="D13" s="99"/>
      <c r="E13" s="78">
        <v>45966</v>
      </c>
      <c r="F13" s="79">
        <f t="shared" si="6"/>
        <v>45973</v>
      </c>
      <c r="G13" s="42">
        <v>8</v>
      </c>
      <c r="H13" s="43">
        <v>0</v>
      </c>
      <c r="I13" s="44">
        <f t="shared" si="4"/>
        <v>6</v>
      </c>
      <c r="J13" s="74"/>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row>
    <row r="14" spans="1:66" s="41" customFormat="1" ht="23.25" x14ac:dyDescent="0.35">
      <c r="A14" s="40" t="str">
        <f t="shared" si="5"/>
        <v>1.6</v>
      </c>
      <c r="B14" s="98" t="s">
        <v>143</v>
      </c>
      <c r="D14" s="99"/>
      <c r="E14" s="78">
        <v>45973</v>
      </c>
      <c r="F14" s="79">
        <f>IF(ISBLANK(E14)," - ",IF(G14=0,E14,E14+G14-1))</f>
        <v>45980</v>
      </c>
      <c r="G14" s="42">
        <v>8</v>
      </c>
      <c r="H14" s="43">
        <v>0</v>
      </c>
      <c r="I14" s="44">
        <f t="shared" si="4"/>
        <v>6</v>
      </c>
      <c r="J14" s="74"/>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row>
    <row r="15" spans="1:66" s="41" customFormat="1" ht="17.25" x14ac:dyDescent="0.35">
      <c r="A15" s="40" t="str">
        <f t="shared" si="5"/>
        <v>1.7</v>
      </c>
      <c r="B15" s="98" t="s">
        <v>148</v>
      </c>
      <c r="D15" s="99"/>
      <c r="E15" s="78">
        <v>45980</v>
      </c>
      <c r="F15" s="133">
        <f>IF(ISBLANK(E15)," - ",IF(G15=0,E15,E15+G15-1))</f>
        <v>45987</v>
      </c>
      <c r="G15" s="42">
        <v>8</v>
      </c>
      <c r="H15" s="43">
        <v>0</v>
      </c>
      <c r="I15" s="44">
        <f t="shared" si="4"/>
        <v>6</v>
      </c>
      <c r="J15" s="74"/>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row>
    <row r="16" spans="1:66" s="35" customFormat="1" ht="17.25" x14ac:dyDescent="0.35">
      <c r="A16" s="33" t="str">
        <f>IF(ISERROR(VALUE(SUBSTITUTE(prevWBS,".",""))),"1",IF(ISERROR(FIND("`",SUBSTITUTE(prevWBS,".","`",1))),TEXT(VALUE(prevWBS)+1,"#"),TEXT(VALUE(LEFT(prevWBS,FIND("`",SUBSTITUTE(prevWBS,".","`",1))-1))+1,"#")))</f>
        <v>2</v>
      </c>
      <c r="B16" s="34" t="s">
        <v>146</v>
      </c>
      <c r="D16" s="36"/>
      <c r="E16" s="80">
        <v>45980</v>
      </c>
      <c r="F16" s="80">
        <f t="shared" si="6"/>
        <v>46008</v>
      </c>
      <c r="G16" s="37">
        <v>29</v>
      </c>
      <c r="H16" s="38"/>
      <c r="I16" s="39">
        <f t="shared" si="4"/>
        <v>21</v>
      </c>
      <c r="J16" s="75"/>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row>
    <row r="17" spans="1:66" s="41" customFormat="1" ht="17.25" x14ac:dyDescent="0.35">
      <c r="A17"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7" s="98" t="s">
        <v>147</v>
      </c>
      <c r="D17" s="99"/>
      <c r="E17" s="78">
        <v>45980</v>
      </c>
      <c r="F17" s="79">
        <f t="shared" si="6"/>
        <v>45987</v>
      </c>
      <c r="G17" s="42">
        <v>8</v>
      </c>
      <c r="H17" s="43">
        <v>0</v>
      </c>
      <c r="I17" s="44">
        <f t="shared" si="4"/>
        <v>6</v>
      </c>
      <c r="J17" s="74"/>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row>
    <row r="18" spans="1:66" s="41" customFormat="1" ht="34.9" x14ac:dyDescent="0.35">
      <c r="A18"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8" s="98" t="s">
        <v>144</v>
      </c>
      <c r="D18" s="99"/>
      <c r="E18" s="78">
        <v>45987</v>
      </c>
      <c r="F18" s="79">
        <f t="shared" si="6"/>
        <v>46001</v>
      </c>
      <c r="G18" s="132">
        <v>15</v>
      </c>
      <c r="H18" s="43">
        <v>0</v>
      </c>
      <c r="I18" s="44">
        <f t="shared" si="4"/>
        <v>11</v>
      </c>
      <c r="J18" s="74"/>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row>
    <row r="19" spans="1:66" s="41" customFormat="1" ht="23.25" x14ac:dyDescent="0.35">
      <c r="A19"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9" s="98" t="s">
        <v>145</v>
      </c>
      <c r="D19" s="99"/>
      <c r="E19" s="131">
        <v>46001</v>
      </c>
      <c r="F19" s="79">
        <f t="shared" si="6"/>
        <v>46008</v>
      </c>
      <c r="G19" s="132">
        <v>8</v>
      </c>
      <c r="H19" s="43">
        <v>0</v>
      </c>
      <c r="I19" s="44">
        <f t="shared" si="4"/>
        <v>6</v>
      </c>
      <c r="J19" s="74"/>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row>
    <row r="20" spans="1:66" s="35" customFormat="1" ht="17.25" x14ac:dyDescent="0.35">
      <c r="A20" s="33" t="str">
        <f>IF(ISERROR(VALUE(SUBSTITUTE(prevWBS,".",""))),"1",IF(ISERROR(FIND("`",SUBSTITUTE(prevWBS,".","`",1))),TEXT(VALUE(prevWBS)+1,"#"),TEXT(VALUE(LEFT(prevWBS,FIND("`",SUBSTITUTE(prevWBS,".","`",1))-1))+1,"#")))</f>
        <v>3</v>
      </c>
      <c r="B20" s="34" t="s">
        <v>149</v>
      </c>
      <c r="D20" s="36"/>
      <c r="E20" s="80">
        <v>46008</v>
      </c>
      <c r="F20" s="80">
        <f t="shared" si="6"/>
        <v>46043</v>
      </c>
      <c r="G20" s="37">
        <v>36</v>
      </c>
      <c r="H20" s="38"/>
      <c r="I20" s="39">
        <f t="shared" si="4"/>
        <v>26</v>
      </c>
      <c r="J20" s="75"/>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row>
    <row r="21" spans="1:66" s="41" customFormat="1" ht="23.25" x14ac:dyDescent="0.35">
      <c r="A21"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1" s="98" t="s">
        <v>150</v>
      </c>
      <c r="D21" s="99"/>
      <c r="E21" s="78">
        <v>46008</v>
      </c>
      <c r="F21" s="79">
        <f t="shared" si="6"/>
        <v>46008</v>
      </c>
      <c r="G21" s="42">
        <v>1</v>
      </c>
      <c r="H21" s="43">
        <v>0</v>
      </c>
      <c r="I21" s="44">
        <f t="shared" si="4"/>
        <v>1</v>
      </c>
      <c r="J21" s="74"/>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row>
    <row r="22" spans="1:66" s="41" customFormat="1" ht="17.25" x14ac:dyDescent="0.5">
      <c r="A22"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2" s="130" t="s">
        <v>151</v>
      </c>
      <c r="D22" s="99"/>
      <c r="E22" s="78">
        <v>46008</v>
      </c>
      <c r="F22" s="79">
        <f t="shared" si="6"/>
        <v>46036</v>
      </c>
      <c r="G22" s="42">
        <v>29</v>
      </c>
      <c r="H22" s="43">
        <v>0</v>
      </c>
      <c r="I22" s="44">
        <f t="shared" si="4"/>
        <v>21</v>
      </c>
      <c r="J22" s="74"/>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row>
    <row r="23" spans="1:66" s="41" customFormat="1" ht="17.25" x14ac:dyDescent="0.5">
      <c r="A23"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3" s="130" t="s">
        <v>152</v>
      </c>
      <c r="D23" s="99"/>
      <c r="E23" s="78">
        <v>46036</v>
      </c>
      <c r="F23" s="79">
        <f t="shared" si="6"/>
        <v>46043</v>
      </c>
      <c r="G23" s="42">
        <v>8</v>
      </c>
      <c r="H23" s="43">
        <v>0</v>
      </c>
      <c r="I23" s="44">
        <f t="shared" si="4"/>
        <v>6</v>
      </c>
      <c r="J23" s="74"/>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row>
    <row r="24" spans="1:66" s="41" customFormat="1" ht="17.25" x14ac:dyDescent="0.5">
      <c r="A24"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4" s="130" t="s">
        <v>153</v>
      </c>
      <c r="D24" s="99"/>
      <c r="E24" s="78">
        <v>46036</v>
      </c>
      <c r="F24" s="79">
        <f t="shared" si="6"/>
        <v>46043</v>
      </c>
      <c r="G24" s="42">
        <v>8</v>
      </c>
      <c r="H24" s="43">
        <v>0</v>
      </c>
      <c r="I24" s="44">
        <f t="shared" si="4"/>
        <v>6</v>
      </c>
      <c r="J24" s="74"/>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row>
    <row r="25" spans="1:66" s="35" customFormat="1" ht="17.25" x14ac:dyDescent="0.35">
      <c r="A25" s="33" t="str">
        <f>IF(ISERROR(VALUE(SUBSTITUTE(prevWBS,".",""))),"1",IF(ISERROR(FIND("`",SUBSTITUTE(prevWBS,".","`",1))),TEXT(VALUE(prevWBS)+1,"#"),TEXT(VALUE(LEFT(prevWBS,FIND("`",SUBSTITUTE(prevWBS,".","`",1))-1))+1,"#")))</f>
        <v>4</v>
      </c>
      <c r="B25" s="34" t="s">
        <v>154</v>
      </c>
      <c r="D25" s="36"/>
      <c r="E25" s="80">
        <v>46043</v>
      </c>
      <c r="F25" s="80">
        <f t="shared" si="6"/>
        <v>46103</v>
      </c>
      <c r="G25" s="37">
        <v>61</v>
      </c>
      <c r="H25" s="38"/>
      <c r="I25" s="39">
        <f t="shared" si="4"/>
        <v>43</v>
      </c>
      <c r="J25" s="75"/>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row>
    <row r="26" spans="1:66" s="41" customFormat="1" ht="17.25" x14ac:dyDescent="0.5">
      <c r="A26"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6" s="130" t="s">
        <v>155</v>
      </c>
      <c r="D26" s="99"/>
      <c r="E26" s="78">
        <v>46043</v>
      </c>
      <c r="F26" s="79">
        <f t="shared" si="6"/>
        <v>46056</v>
      </c>
      <c r="G26" s="42">
        <v>14</v>
      </c>
      <c r="H26" s="43">
        <v>0</v>
      </c>
      <c r="I26" s="44">
        <f t="shared" si="4"/>
        <v>10</v>
      </c>
      <c r="J26" s="74"/>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row>
    <row r="27" spans="1:66" s="41" customFormat="1" ht="17.25" x14ac:dyDescent="0.5">
      <c r="A27"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7" s="130" t="s">
        <v>156</v>
      </c>
      <c r="D27" s="99"/>
      <c r="E27" s="78">
        <v>46056</v>
      </c>
      <c r="F27" s="79">
        <f t="shared" si="6"/>
        <v>46056</v>
      </c>
      <c r="G27" s="42">
        <v>1</v>
      </c>
      <c r="H27" s="43">
        <v>0</v>
      </c>
      <c r="I27" s="44">
        <f t="shared" si="4"/>
        <v>1</v>
      </c>
      <c r="J27" s="74"/>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row>
    <row r="28" spans="1:66" s="41" customFormat="1" ht="17.25" x14ac:dyDescent="0.5">
      <c r="A28"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8" s="130" t="s">
        <v>157</v>
      </c>
      <c r="D28" s="99"/>
      <c r="E28" s="78">
        <v>46057</v>
      </c>
      <c r="F28" s="79">
        <f t="shared" si="6"/>
        <v>46086</v>
      </c>
      <c r="G28" s="42">
        <v>30</v>
      </c>
      <c r="H28" s="43">
        <v>0</v>
      </c>
      <c r="I28" s="44">
        <f t="shared" si="4"/>
        <v>22</v>
      </c>
      <c r="J28" s="74"/>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row>
    <row r="29" spans="1:66" s="41" customFormat="1" ht="17.25" x14ac:dyDescent="0.5">
      <c r="A29"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9" s="130" t="s">
        <v>158</v>
      </c>
      <c r="D29" s="99"/>
      <c r="E29" s="78">
        <v>46086</v>
      </c>
      <c r="F29" s="79">
        <f t="shared" si="6"/>
        <v>46101</v>
      </c>
      <c r="G29" s="42">
        <v>16</v>
      </c>
      <c r="H29" s="43">
        <v>0</v>
      </c>
      <c r="I29" s="44">
        <f t="shared" si="4"/>
        <v>12</v>
      </c>
      <c r="J29" s="74"/>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row>
    <row r="30" spans="1:66" s="41" customFormat="1" ht="17.25" x14ac:dyDescent="0.5">
      <c r="A30"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30" s="130" t="s">
        <v>159</v>
      </c>
      <c r="D30" s="99"/>
      <c r="E30" s="78">
        <v>46103</v>
      </c>
      <c r="F30" s="79">
        <f t="shared" si="6"/>
        <v>46103</v>
      </c>
      <c r="G30" s="42">
        <v>1</v>
      </c>
      <c r="H30" s="43">
        <v>0</v>
      </c>
      <c r="I30" s="44">
        <f t="shared" si="4"/>
        <v>0</v>
      </c>
      <c r="J30" s="74"/>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row>
    <row r="31" spans="1:66" s="50" customFormat="1" ht="17.25" x14ac:dyDescent="0.35">
      <c r="A31" s="40"/>
      <c r="B31" s="45"/>
      <c r="C31" s="45"/>
      <c r="D31" s="46"/>
      <c r="E31" s="81"/>
      <c r="F31" s="81"/>
      <c r="G31" s="47"/>
      <c r="H31" s="48"/>
      <c r="I31" s="49" t="str">
        <f t="shared" si="4"/>
        <v xml:space="preserve"> - </v>
      </c>
      <c r="J31" s="76"/>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row>
    <row r="32" spans="1:66" s="50" customFormat="1" ht="17.25" x14ac:dyDescent="0.35">
      <c r="A32" s="40"/>
      <c r="B32" s="45"/>
      <c r="C32" s="45"/>
      <c r="D32" s="46"/>
      <c r="E32" s="81"/>
      <c r="F32" s="81"/>
      <c r="G32" s="47"/>
      <c r="H32" s="48"/>
      <c r="I32" s="49" t="str">
        <f t="shared" si="4"/>
        <v xml:space="preserve"> - </v>
      </c>
      <c r="J32" s="76"/>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row>
    <row r="33" spans="1:66" s="55" customFormat="1" ht="17.25" x14ac:dyDescent="0.35">
      <c r="A33" s="51" t="s">
        <v>1</v>
      </c>
      <c r="B33" s="52"/>
      <c r="C33" s="53"/>
      <c r="D33" s="53"/>
      <c r="E33" s="82"/>
      <c r="F33" s="82"/>
      <c r="G33" s="54"/>
      <c r="H33" s="54"/>
      <c r="I33" s="54"/>
      <c r="J33" s="77"/>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row>
    <row r="34" spans="1:66" s="50" customFormat="1" ht="17.25" x14ac:dyDescent="0.35">
      <c r="A34" s="56" t="s">
        <v>38</v>
      </c>
      <c r="B34" s="57"/>
      <c r="C34" s="57"/>
      <c r="D34" s="57"/>
      <c r="E34" s="83"/>
      <c r="F34" s="83"/>
      <c r="G34" s="57"/>
      <c r="H34" s="57"/>
      <c r="I34" s="57"/>
      <c r="J34" s="77"/>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row>
    <row r="35" spans="1:66" s="50" customFormat="1" ht="17.25" x14ac:dyDescent="0.35">
      <c r="A35" s="101" t="str">
        <f>IF(ISERROR(VALUE(SUBSTITUTE(prevWBS,".",""))),"1",IF(ISERROR(FIND("`",SUBSTITUTE(prevWBS,".","`",1))),TEXT(VALUE(prevWBS)+1,"#"),TEXT(VALUE(LEFT(prevWBS,FIND("`",SUBSTITUTE(prevWBS,".","`",1))-1))+1,"#")))</f>
        <v>1</v>
      </c>
      <c r="B35" s="102" t="s">
        <v>76</v>
      </c>
      <c r="C35" s="58"/>
      <c r="D35" s="59"/>
      <c r="E35" s="78"/>
      <c r="F35" s="79" t="str">
        <f t="shared" ref="F35:F38" si="7">IF(ISBLANK(E35)," - ",IF(G35=0,E35,E35+G35-1))</f>
        <v xml:space="preserve"> - </v>
      </c>
      <c r="G35" s="42"/>
      <c r="H35" s="43"/>
      <c r="I35" s="44" t="str">
        <f>IF(OR(F35=0,E35=0)," - ",NETWORKDAYS(E35,F35))</f>
        <v xml:space="preserve"> - </v>
      </c>
      <c r="J35" s="74"/>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row>
    <row r="36" spans="1:66" s="50" customFormat="1" ht="17.25" x14ac:dyDescent="0.35">
      <c r="A36" s="40"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36" s="60" t="s">
        <v>62</v>
      </c>
      <c r="C36" s="60"/>
      <c r="D36" s="59"/>
      <c r="E36" s="78"/>
      <c r="F36" s="79" t="str">
        <f t="shared" si="7"/>
        <v xml:space="preserve"> - </v>
      </c>
      <c r="G36" s="42"/>
      <c r="H36" s="43"/>
      <c r="I36" s="44" t="str">
        <f t="shared" ref="I36:I38" si="8">IF(OR(F36=0,E36=0)," - ",NETWORKDAYS(E36,F36))</f>
        <v xml:space="preserve"> - </v>
      </c>
      <c r="J36" s="74"/>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row>
    <row r="37" spans="1:66" s="50" customFormat="1" ht="17.25" x14ac:dyDescent="0.35">
      <c r="A37" s="40"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37" s="61" t="s">
        <v>63</v>
      </c>
      <c r="C37" s="60"/>
      <c r="D37" s="59"/>
      <c r="E37" s="78"/>
      <c r="F37" s="79" t="str">
        <f t="shared" si="7"/>
        <v xml:space="preserve"> - </v>
      </c>
      <c r="G37" s="42"/>
      <c r="H37" s="43"/>
      <c r="I37" s="44" t="str">
        <f t="shared" si="8"/>
        <v xml:space="preserve"> - </v>
      </c>
      <c r="J37" s="74"/>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row>
    <row r="38" spans="1:66" s="50" customFormat="1" ht="17.25" x14ac:dyDescent="0.35">
      <c r="A38" s="40"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1.1.1.1</v>
      </c>
      <c r="B38" s="61" t="s">
        <v>64</v>
      </c>
      <c r="C38" s="60"/>
      <c r="D38" s="59"/>
      <c r="E38" s="78"/>
      <c r="F38" s="79" t="str">
        <f t="shared" si="7"/>
        <v xml:space="preserve"> - </v>
      </c>
      <c r="G38" s="42"/>
      <c r="H38" s="43"/>
      <c r="I38" s="44" t="str">
        <f t="shared" si="8"/>
        <v xml:space="preserve"> - </v>
      </c>
      <c r="J38" s="74"/>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row>
    <row r="39" spans="1:66" s="19" customFormat="1" x14ac:dyDescent="0.35">
      <c r="A39" s="129" t="str">
        <f>HYPERLINK("https://vertex42.link/HowToCreateAGanttChart","► Watch How to Create a Gantt Chart in Excel")</f>
        <v>► Watch How to Create a Gantt Chart in Excel</v>
      </c>
    </row>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38">
    <cfRule type="dataBar" priority="10">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53">
      <formula>K$6=TODAY()</formula>
    </cfRule>
  </conditionalFormatting>
  <conditionalFormatting sqref="K6:BN38">
    <cfRule type="expression" dxfId="2" priority="16">
      <formula>K$6=TODAY()</formula>
    </cfRule>
  </conditionalFormatting>
  <conditionalFormatting sqref="K8:BN38">
    <cfRule type="expression" dxfId="1" priority="56">
      <formula>AND($E8&lt;=K$6,ROUNDDOWN(($F8-$E8+1)*$H8,0)+$E8-1&gt;=K$6)</formula>
    </cfRule>
    <cfRule type="expression" dxfId="0" priority="57">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hyperlinks>
    <hyperlink ref="K1:AE1" r:id="rId1" display="Gantt Chart Template © 2006-2018 by Vertex42.com." xr:uid="{00000000-0004-0000-0000-000000000000}"/>
  </hyperlinks>
  <pageMargins left="0.25" right="0.25" top="0.5" bottom="0.5" header="0.5" footer="0.25"/>
  <pageSetup orientation="landscape" r:id="rId2"/>
  <headerFooter alignWithMargins="0"/>
  <ignoredErrors>
    <ignoredError sqref="H9 A31:B32 A34:B34 B33 E31:H34 H16 H20 H25 G35 G36:G37 G38 H18 H19 H21:H24 H29 H26 H27 H28" unlockedFormula="1"/>
    <ignoredError sqref="A25 A20 A16"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6"/>
  <sheetViews>
    <sheetView showGridLines="0" topLeftCell="A11" workbookViewId="0"/>
  </sheetViews>
  <sheetFormatPr baseColWidth="10" defaultColWidth="9.06640625" defaultRowHeight="12.75" x14ac:dyDescent="0.35"/>
  <cols>
    <col min="1" max="1" width="5.59765625" customWidth="1"/>
    <col min="2" max="2" width="37.73046875" customWidth="1"/>
    <col min="3" max="3" width="55.1328125" customWidth="1"/>
    <col min="4" max="7" width="8.86328125"/>
  </cols>
  <sheetData>
    <row r="1" spans="1:3" ht="30" customHeight="1" x14ac:dyDescent="0.35">
      <c r="A1" s="21" t="s">
        <v>22</v>
      </c>
    </row>
    <row r="4" spans="1:3" ht="13.15" x14ac:dyDescent="0.4">
      <c r="C4" s="4" t="s">
        <v>30</v>
      </c>
    </row>
    <row r="5" spans="1:3" x14ac:dyDescent="0.35">
      <c r="C5" s="2" t="s">
        <v>31</v>
      </c>
    </row>
    <row r="6" spans="1:3" x14ac:dyDescent="0.35">
      <c r="C6" s="2"/>
    </row>
    <row r="7" spans="1:3" ht="17.25" x14ac:dyDescent="0.45">
      <c r="C7" s="13" t="s">
        <v>51</v>
      </c>
    </row>
    <row r="8" spans="1:3" x14ac:dyDescent="0.35">
      <c r="C8" s="14" t="s">
        <v>49</v>
      </c>
    </row>
    <row r="10" spans="1:3" x14ac:dyDescent="0.35">
      <c r="C10" s="2" t="s">
        <v>48</v>
      </c>
    </row>
    <row r="11" spans="1:3" x14ac:dyDescent="0.35">
      <c r="C11" s="2" t="s">
        <v>47</v>
      </c>
    </row>
    <row r="13" spans="1:3" ht="17.25" x14ac:dyDescent="0.45">
      <c r="C13" s="13" t="s">
        <v>46</v>
      </c>
    </row>
    <row r="16" spans="1:3" ht="15" x14ac:dyDescent="0.4">
      <c r="A16" s="16" t="s">
        <v>24</v>
      </c>
    </row>
    <row r="18" spans="2:2" ht="13.9" x14ac:dyDescent="0.4">
      <c r="B18" s="15" t="s">
        <v>35</v>
      </c>
    </row>
    <row r="19" spans="2:2" x14ac:dyDescent="0.35">
      <c r="B19" s="2" t="s">
        <v>41</v>
      </c>
    </row>
    <row r="20" spans="2:2" x14ac:dyDescent="0.35">
      <c r="B20" s="2" t="s">
        <v>42</v>
      </c>
    </row>
    <row r="22" spans="2:2" ht="13.9" x14ac:dyDescent="0.4">
      <c r="B22" s="15" t="s">
        <v>43</v>
      </c>
    </row>
    <row r="23" spans="2:2" x14ac:dyDescent="0.35">
      <c r="B23" s="2" t="s">
        <v>44</v>
      </c>
    </row>
    <row r="24" spans="2:2" x14ac:dyDescent="0.35">
      <c r="B24" s="2" t="s">
        <v>45</v>
      </c>
    </row>
    <row r="26" spans="2:2" ht="13.9" x14ac:dyDescent="0.4">
      <c r="B26" s="15" t="s">
        <v>32</v>
      </c>
    </row>
    <row r="27" spans="2:2" x14ac:dyDescent="0.35">
      <c r="B27" s="2" t="s">
        <v>36</v>
      </c>
    </row>
    <row r="28" spans="2:2" x14ac:dyDescent="0.35">
      <c r="B28" s="2" t="s">
        <v>37</v>
      </c>
    </row>
    <row r="29" spans="2:2" x14ac:dyDescent="0.35">
      <c r="B29" s="2" t="s">
        <v>39</v>
      </c>
    </row>
    <row r="30" spans="2:2" x14ac:dyDescent="0.35">
      <c r="B30" t="s">
        <v>25</v>
      </c>
    </row>
    <row r="31" spans="2:2" x14ac:dyDescent="0.35">
      <c r="B31" t="s">
        <v>26</v>
      </c>
    </row>
    <row r="32" spans="2:2" x14ac:dyDescent="0.35">
      <c r="B32" t="s">
        <v>27</v>
      </c>
    </row>
    <row r="34" spans="2:2" ht="13.9" x14ac:dyDescent="0.4">
      <c r="B34" s="15" t="s">
        <v>28</v>
      </c>
    </row>
    <row r="35" spans="2:2" x14ac:dyDescent="0.35">
      <c r="B35" s="2" t="s">
        <v>126</v>
      </c>
    </row>
    <row r="36" spans="2:2" x14ac:dyDescent="0.35">
      <c r="B36" s="2" t="s">
        <v>127</v>
      </c>
    </row>
    <row r="37" spans="2:2" x14ac:dyDescent="0.35">
      <c r="B37" s="2" t="s">
        <v>128</v>
      </c>
    </row>
    <row r="39" spans="2:2" ht="13.9" x14ac:dyDescent="0.4">
      <c r="B39" s="15" t="s">
        <v>29</v>
      </c>
    </row>
    <row r="40" spans="2:2" x14ac:dyDescent="0.35">
      <c r="B40" s="2" t="s">
        <v>40</v>
      </c>
    </row>
    <row r="42" spans="2:2" ht="13.9" x14ac:dyDescent="0.4">
      <c r="B42" s="15" t="s">
        <v>33</v>
      </c>
    </row>
    <row r="43" spans="2:2" x14ac:dyDescent="0.35">
      <c r="B43" s="2" t="s">
        <v>129</v>
      </c>
    </row>
    <row r="44" spans="2:2" x14ac:dyDescent="0.35">
      <c r="B44" s="2" t="s">
        <v>34</v>
      </c>
    </row>
    <row r="46" spans="2:2" ht="17.25" x14ac:dyDescent="0.45">
      <c r="B46" s="13" t="s">
        <v>23</v>
      </c>
    </row>
  </sheetData>
  <hyperlinks>
    <hyperlink ref="C7" r:id="rId1" xr:uid="{00000000-0004-0000-0100-000000000000}"/>
    <hyperlink ref="B46" r:id="rId2" tooltip="Go to Vertex42.com" display="https://www.vertex42.com/Links/go.php?urlid=GanttChartPro" xr:uid="{00000000-0004-0000-0100-000001000000}"/>
    <hyperlink ref="C13" r:id="rId3" display="https://www.vertex42.com/blog/business/pm/new-gantt-chart-for-excel-online.html" xr:uid="{00000000-0004-0000-0100-000002000000}"/>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heetViews>
  <sheetFormatPr baseColWidth="10" defaultColWidth="8.86328125" defaultRowHeight="12.75" x14ac:dyDescent="0.35"/>
  <cols>
    <col min="1" max="1" width="5.59765625" style="2" customWidth="1"/>
    <col min="2" max="2" width="90.3984375" style="2" customWidth="1"/>
    <col min="3" max="3" width="16.3984375" style="2" bestFit="1" customWidth="1"/>
    <col min="4" max="16384" width="8.86328125" style="2"/>
  </cols>
  <sheetData>
    <row r="1" spans="1:3" ht="30" customHeight="1" x14ac:dyDescent="0.35">
      <c r="A1" s="25" t="s">
        <v>121</v>
      </c>
      <c r="B1" s="26"/>
    </row>
    <row r="2" spans="1:3" ht="13.5" x14ac:dyDescent="0.35">
      <c r="A2" s="109" t="s">
        <v>49</v>
      </c>
      <c r="B2" s="3"/>
    </row>
    <row r="3" spans="1:3" x14ac:dyDescent="0.35">
      <c r="B3" s="3"/>
    </row>
    <row r="4" spans="1:3" ht="17.25" x14ac:dyDescent="0.45">
      <c r="A4" s="104" t="s">
        <v>88</v>
      </c>
      <c r="B4" s="16"/>
    </row>
    <row r="5" spans="1:3" ht="54" x14ac:dyDescent="0.35">
      <c r="B5" s="110" t="s">
        <v>77</v>
      </c>
    </row>
    <row r="7" spans="1:3" ht="27" x14ac:dyDescent="0.35">
      <c r="B7" s="110" t="s">
        <v>89</v>
      </c>
    </row>
    <row r="9" spans="1:3" ht="13.5" x14ac:dyDescent="0.35">
      <c r="B9" s="109" t="s">
        <v>60</v>
      </c>
    </row>
    <row r="11" spans="1:3" ht="27" x14ac:dyDescent="0.35">
      <c r="B11" s="108" t="s">
        <v>61</v>
      </c>
    </row>
    <row r="13" spans="1:3" ht="17.25" x14ac:dyDescent="0.45">
      <c r="A13" s="143" t="s">
        <v>4</v>
      </c>
      <c r="B13" s="143"/>
    </row>
    <row r="15" spans="1:3" s="105" customFormat="1" ht="17.25" x14ac:dyDescent="0.35">
      <c r="A15" s="112"/>
      <c r="B15" s="111" t="s">
        <v>80</v>
      </c>
    </row>
    <row r="16" spans="1:3" s="105" customFormat="1" ht="17.25" x14ac:dyDescent="0.35">
      <c r="A16" s="112"/>
      <c r="B16" s="111" t="s">
        <v>78</v>
      </c>
      <c r="C16" s="107" t="s">
        <v>3</v>
      </c>
    </row>
    <row r="17" spans="1:3" ht="17.25" x14ac:dyDescent="0.45">
      <c r="A17" s="113"/>
      <c r="B17" s="111" t="s">
        <v>82</v>
      </c>
    </row>
    <row r="18" spans="1:3" ht="17.25" x14ac:dyDescent="0.45">
      <c r="A18" s="113"/>
      <c r="B18" s="111" t="s">
        <v>90</v>
      </c>
    </row>
    <row r="19" spans="1:3" ht="17.25" x14ac:dyDescent="0.45">
      <c r="A19" s="113"/>
      <c r="B19" s="111" t="s">
        <v>91</v>
      </c>
    </row>
    <row r="20" spans="1:3" s="105" customFormat="1" ht="17.25" x14ac:dyDescent="0.35">
      <c r="A20" s="112"/>
      <c r="B20" s="111" t="s">
        <v>79</v>
      </c>
      <c r="C20" s="106" t="s">
        <v>2</v>
      </c>
    </row>
    <row r="21" spans="1:3" ht="17.25" x14ac:dyDescent="0.45">
      <c r="A21" s="113"/>
      <c r="B21" s="111" t="s">
        <v>81</v>
      </c>
    </row>
    <row r="22" spans="1:3" ht="17.25" x14ac:dyDescent="0.45">
      <c r="A22" s="113"/>
      <c r="B22" s="114" t="s">
        <v>83</v>
      </c>
    </row>
    <row r="23" spans="1:3" ht="17.25" x14ac:dyDescent="0.45">
      <c r="A23" s="113"/>
      <c r="B23" s="4"/>
    </row>
    <row r="24" spans="1:3" ht="17.25" x14ac:dyDescent="0.45">
      <c r="A24" s="143" t="s">
        <v>84</v>
      </c>
      <c r="B24" s="143"/>
    </row>
    <row r="25" spans="1:3" ht="40.9" x14ac:dyDescent="0.45">
      <c r="A25" s="113"/>
      <c r="B25" s="111" t="s">
        <v>92</v>
      </c>
    </row>
    <row r="26" spans="1:3" ht="17.25" x14ac:dyDescent="0.45">
      <c r="A26" s="113"/>
      <c r="B26" s="111"/>
    </row>
    <row r="27" spans="1:3" ht="17.25" x14ac:dyDescent="0.45">
      <c r="A27" s="113"/>
      <c r="B27" s="128" t="s">
        <v>96</v>
      </c>
    </row>
    <row r="28" spans="1:3" ht="17.25" x14ac:dyDescent="0.45">
      <c r="A28" s="113"/>
      <c r="B28" s="111" t="s">
        <v>85</v>
      </c>
    </row>
    <row r="29" spans="1:3" ht="27" x14ac:dyDescent="0.45">
      <c r="A29" s="113"/>
      <c r="B29" s="111" t="s">
        <v>87</v>
      </c>
    </row>
    <row r="30" spans="1:3" ht="17.25" x14ac:dyDescent="0.45">
      <c r="A30" s="113"/>
      <c r="B30" s="111"/>
    </row>
    <row r="31" spans="1:3" ht="17.25" x14ac:dyDescent="0.45">
      <c r="A31" s="113"/>
      <c r="B31" s="128" t="s">
        <v>93</v>
      </c>
    </row>
    <row r="32" spans="1:3" ht="17.25" x14ac:dyDescent="0.45">
      <c r="A32" s="113"/>
      <c r="B32" s="111" t="s">
        <v>86</v>
      </c>
    </row>
    <row r="33" spans="1:2" ht="17.25" x14ac:dyDescent="0.45">
      <c r="A33" s="113"/>
      <c r="B33" s="111" t="s">
        <v>94</v>
      </c>
    </row>
    <row r="34" spans="1:2" ht="17.25" x14ac:dyDescent="0.45">
      <c r="A34" s="113"/>
      <c r="B34" s="4"/>
    </row>
    <row r="35" spans="1:2" ht="27" x14ac:dyDescent="0.45">
      <c r="A35" s="113"/>
      <c r="B35" s="111" t="s">
        <v>131</v>
      </c>
    </row>
    <row r="36" spans="1:2" ht="17.25" x14ac:dyDescent="0.45">
      <c r="A36" s="113"/>
      <c r="B36" s="115" t="s">
        <v>95</v>
      </c>
    </row>
    <row r="37" spans="1:2" ht="17.25" x14ac:dyDescent="0.45">
      <c r="A37" s="113"/>
      <c r="B37" s="4"/>
    </row>
    <row r="38" spans="1:2" ht="17.25" x14ac:dyDescent="0.45">
      <c r="A38" s="143" t="s">
        <v>10</v>
      </c>
      <c r="B38" s="143"/>
    </row>
    <row r="39" spans="1:2" ht="27" x14ac:dyDescent="0.35">
      <c r="B39" s="111" t="s">
        <v>98</v>
      </c>
    </row>
    <row r="41" spans="1:2" ht="13.5" x14ac:dyDescent="0.35">
      <c r="B41" s="111" t="s">
        <v>99</v>
      </c>
    </row>
    <row r="43" spans="1:2" ht="27" x14ac:dyDescent="0.35">
      <c r="B43" s="111" t="s">
        <v>97</v>
      </c>
    </row>
    <row r="45" spans="1:2" ht="27" x14ac:dyDescent="0.35">
      <c r="B45" s="111" t="s">
        <v>100</v>
      </c>
    </row>
    <row r="46" spans="1:2" x14ac:dyDescent="0.35">
      <c r="B46" s="11"/>
    </row>
    <row r="47" spans="1:2" ht="27" x14ac:dyDescent="0.35">
      <c r="B47" s="111" t="s">
        <v>101</v>
      </c>
    </row>
    <row r="49" spans="1:2" ht="17.25" x14ac:dyDescent="0.45">
      <c r="A49" s="143" t="s">
        <v>7</v>
      </c>
      <c r="B49" s="143"/>
    </row>
    <row r="50" spans="1:2" ht="27" x14ac:dyDescent="0.35">
      <c r="B50" s="111" t="s">
        <v>132</v>
      </c>
    </row>
    <row r="52" spans="1:2" ht="13.5" x14ac:dyDescent="0.35">
      <c r="A52" s="116" t="s">
        <v>11</v>
      </c>
      <c r="B52" s="111" t="s">
        <v>12</v>
      </c>
    </row>
    <row r="53" spans="1:2" ht="13.5" x14ac:dyDescent="0.35">
      <c r="A53" s="116" t="s">
        <v>13</v>
      </c>
      <c r="B53" s="111" t="s">
        <v>14</v>
      </c>
    </row>
    <row r="54" spans="1:2" ht="13.5" x14ac:dyDescent="0.35">
      <c r="A54" s="116" t="s">
        <v>15</v>
      </c>
      <c r="B54" s="111" t="s">
        <v>16</v>
      </c>
    </row>
    <row r="55" spans="1:2" ht="27.4" x14ac:dyDescent="0.35">
      <c r="A55" s="108"/>
      <c r="B55" s="111" t="s">
        <v>102</v>
      </c>
    </row>
    <row r="56" spans="1:2" ht="27.4" x14ac:dyDescent="0.35">
      <c r="A56" s="108"/>
      <c r="B56" s="111" t="s">
        <v>103</v>
      </c>
    </row>
    <row r="57" spans="1:2" ht="13.5" x14ac:dyDescent="0.35">
      <c r="A57" s="116" t="s">
        <v>17</v>
      </c>
      <c r="B57" s="111" t="s">
        <v>18</v>
      </c>
    </row>
    <row r="58" spans="1:2" ht="13.9" x14ac:dyDescent="0.35">
      <c r="A58" s="108"/>
      <c r="B58" s="111" t="s">
        <v>104</v>
      </c>
    </row>
    <row r="59" spans="1:2" ht="13.9" x14ac:dyDescent="0.35">
      <c r="A59" s="108"/>
      <c r="B59" s="111" t="s">
        <v>105</v>
      </c>
    </row>
    <row r="60" spans="1:2" ht="13.5" x14ac:dyDescent="0.35">
      <c r="A60" s="116" t="s">
        <v>19</v>
      </c>
      <c r="B60" s="111" t="s">
        <v>20</v>
      </c>
    </row>
    <row r="61" spans="1:2" ht="27.4" x14ac:dyDescent="0.35">
      <c r="A61" s="108"/>
      <c r="B61" s="111" t="s">
        <v>106</v>
      </c>
    </row>
    <row r="62" spans="1:2" ht="13.5" x14ac:dyDescent="0.35">
      <c r="A62" s="116" t="s">
        <v>107</v>
      </c>
      <c r="B62" s="111" t="s">
        <v>108</v>
      </c>
    </row>
    <row r="63" spans="1:2" ht="13.5" x14ac:dyDescent="0.35">
      <c r="A63" s="117"/>
      <c r="B63" s="111" t="s">
        <v>109</v>
      </c>
    </row>
    <row r="64" spans="1:2" x14ac:dyDescent="0.35">
      <c r="B64" s="5"/>
    </row>
    <row r="65" spans="1:2" ht="17.25" x14ac:dyDescent="0.45">
      <c r="A65" s="143" t="s">
        <v>9</v>
      </c>
      <c r="B65" s="143"/>
    </row>
    <row r="66" spans="1:2" ht="40.5" x14ac:dyDescent="0.35">
      <c r="B66" s="111" t="s">
        <v>110</v>
      </c>
    </row>
    <row r="68" spans="1:2" ht="17.25" x14ac:dyDescent="0.45">
      <c r="A68" s="143" t="s">
        <v>5</v>
      </c>
      <c r="B68" s="143"/>
    </row>
    <row r="69" spans="1:2" ht="13.9" x14ac:dyDescent="0.4">
      <c r="A69" s="123" t="s">
        <v>6</v>
      </c>
      <c r="B69" s="124" t="s">
        <v>111</v>
      </c>
    </row>
    <row r="70" spans="1:2" ht="27" x14ac:dyDescent="0.35">
      <c r="A70" s="117"/>
      <c r="B70" s="122" t="s">
        <v>113</v>
      </c>
    </row>
    <row r="71" spans="1:2" ht="13.5" x14ac:dyDescent="0.35">
      <c r="A71" s="117"/>
      <c r="B71" s="118"/>
    </row>
    <row r="72" spans="1:2" ht="13.9" x14ac:dyDescent="0.4">
      <c r="A72" s="123" t="s">
        <v>6</v>
      </c>
      <c r="B72" s="124" t="s">
        <v>130</v>
      </c>
    </row>
    <row r="73" spans="1:2" ht="27.4" x14ac:dyDescent="0.35">
      <c r="A73" s="117"/>
      <c r="B73" s="122" t="s">
        <v>134</v>
      </c>
    </row>
    <row r="74" spans="1:2" ht="13.5" x14ac:dyDescent="0.35">
      <c r="A74" s="117"/>
      <c r="B74" s="118"/>
    </row>
    <row r="75" spans="1:2" ht="13.9" x14ac:dyDescent="0.4">
      <c r="A75" s="123" t="s">
        <v>6</v>
      </c>
      <c r="B75" s="126" t="s">
        <v>116</v>
      </c>
    </row>
    <row r="76" spans="1:2" ht="40.5" x14ac:dyDescent="0.35">
      <c r="A76" s="117"/>
      <c r="B76" s="110" t="s">
        <v>133</v>
      </c>
    </row>
    <row r="77" spans="1:2" ht="13.5" x14ac:dyDescent="0.35">
      <c r="A77" s="117"/>
      <c r="B77" s="117"/>
    </row>
    <row r="78" spans="1:2" ht="13.9" x14ac:dyDescent="0.4">
      <c r="A78" s="123" t="s">
        <v>6</v>
      </c>
      <c r="B78" s="126" t="s">
        <v>122</v>
      </c>
    </row>
    <row r="79" spans="1:2" ht="27" x14ac:dyDescent="0.35">
      <c r="A79" s="117"/>
      <c r="B79" s="110" t="s">
        <v>117</v>
      </c>
    </row>
    <row r="80" spans="1:2" ht="13.5" x14ac:dyDescent="0.35">
      <c r="A80" s="117"/>
      <c r="B80" s="117"/>
    </row>
    <row r="81" spans="1:2" ht="13.9" x14ac:dyDescent="0.4">
      <c r="A81" s="123" t="s">
        <v>6</v>
      </c>
      <c r="B81" s="126" t="s">
        <v>123</v>
      </c>
    </row>
    <row r="82" spans="1:2" ht="13.9" x14ac:dyDescent="0.4">
      <c r="A82" s="117"/>
      <c r="B82" s="121" t="s">
        <v>118</v>
      </c>
    </row>
    <row r="83" spans="1:2" ht="13.9" x14ac:dyDescent="0.4">
      <c r="A83" s="117"/>
      <c r="B83" s="121" t="s">
        <v>119</v>
      </c>
    </row>
    <row r="84" spans="1:2" ht="13.9" x14ac:dyDescent="0.4">
      <c r="A84" s="117"/>
      <c r="B84" s="121" t="s">
        <v>120</v>
      </c>
    </row>
    <row r="85" spans="1:2" ht="13.9" x14ac:dyDescent="0.4">
      <c r="A85" s="117"/>
      <c r="B85" s="120"/>
    </row>
    <row r="86" spans="1:2" ht="13.9" x14ac:dyDescent="0.4">
      <c r="A86" s="123" t="s">
        <v>6</v>
      </c>
      <c r="B86" s="126" t="s">
        <v>124</v>
      </c>
    </row>
    <row r="87" spans="1:2" ht="40.5" x14ac:dyDescent="0.35">
      <c r="A87" s="117"/>
      <c r="B87" s="110" t="s">
        <v>112</v>
      </c>
    </row>
    <row r="88" spans="1:2" ht="13.9" x14ac:dyDescent="0.4">
      <c r="A88" s="117"/>
      <c r="B88" s="119" t="s">
        <v>114</v>
      </c>
    </row>
    <row r="89" spans="1:2" ht="40.5" x14ac:dyDescent="0.35">
      <c r="A89" s="117"/>
      <c r="B89" s="125" t="s">
        <v>115</v>
      </c>
    </row>
    <row r="90" spans="1:2" ht="13.5" x14ac:dyDescent="0.35">
      <c r="A90" s="117"/>
      <c r="B90" s="117"/>
    </row>
    <row r="91" spans="1:2" ht="13.9" x14ac:dyDescent="0.4">
      <c r="A91" s="123" t="s">
        <v>6</v>
      </c>
      <c r="B91" s="126" t="s">
        <v>125</v>
      </c>
    </row>
    <row r="92" spans="1:2" ht="27" x14ac:dyDescent="0.35">
      <c r="A92" s="108"/>
      <c r="B92" s="121" t="s">
        <v>21</v>
      </c>
    </row>
    <row r="94" spans="1:2" x14ac:dyDescent="0.35">
      <c r="A94" s="17" t="s">
        <v>135</v>
      </c>
    </row>
  </sheetData>
  <mergeCells count="6">
    <mergeCell ref="A38:B38"/>
    <mergeCell ref="A49:B49"/>
    <mergeCell ref="A68:B68"/>
    <mergeCell ref="A13:B13"/>
    <mergeCell ref="A65:B65"/>
    <mergeCell ref="A24:B24"/>
  </mergeCells>
  <phoneticPr fontId="3" type="noConversion"/>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heetViews>
  <sheetFormatPr baseColWidth="10" defaultColWidth="8.86328125" defaultRowHeight="12.75" x14ac:dyDescent="0.35"/>
  <cols>
    <col min="1" max="1" width="5.59765625" style="2" customWidth="1"/>
    <col min="2" max="2" width="82.1328125" style="2" customWidth="1"/>
  </cols>
  <sheetData>
    <row r="1" spans="1:3" ht="30" customHeight="1" x14ac:dyDescent="0.35">
      <c r="A1" s="25" t="s">
        <v>52</v>
      </c>
      <c r="B1" s="25"/>
    </row>
    <row r="2" spans="1:3" ht="15" x14ac:dyDescent="0.4">
      <c r="B2" s="29"/>
    </row>
    <row r="3" spans="1:3" ht="15" x14ac:dyDescent="0.4">
      <c r="A3" s="27"/>
      <c r="B3" s="22" t="s">
        <v>53</v>
      </c>
      <c r="C3" s="28"/>
    </row>
    <row r="4" spans="1:3" ht="13.5" x14ac:dyDescent="0.35">
      <c r="A4" s="6"/>
      <c r="B4" s="24" t="s">
        <v>49</v>
      </c>
      <c r="C4" s="7"/>
    </row>
    <row r="5" spans="1:3" ht="15" x14ac:dyDescent="0.4">
      <c r="A5" s="6"/>
      <c r="B5" s="8"/>
      <c r="C5" s="7"/>
    </row>
    <row r="6" spans="1:3" ht="15" x14ac:dyDescent="0.4">
      <c r="A6" s="6"/>
      <c r="B6" s="9" t="s">
        <v>135</v>
      </c>
      <c r="C6" s="7"/>
    </row>
    <row r="7" spans="1:3" ht="15" x14ac:dyDescent="0.4">
      <c r="A7" s="6"/>
      <c r="B7" s="8"/>
      <c r="C7" s="7"/>
    </row>
    <row r="8" spans="1:3" ht="30" x14ac:dyDescent="0.4">
      <c r="A8" s="6"/>
      <c r="B8" s="8" t="s">
        <v>54</v>
      </c>
      <c r="C8" s="7"/>
    </row>
    <row r="9" spans="1:3" ht="15" x14ac:dyDescent="0.4">
      <c r="A9" s="6"/>
      <c r="B9" s="8"/>
      <c r="C9" s="7"/>
    </row>
    <row r="10" spans="1:3" ht="45" x14ac:dyDescent="0.4">
      <c r="A10" s="6"/>
      <c r="B10" s="8" t="s">
        <v>55</v>
      </c>
      <c r="C10" s="7"/>
    </row>
    <row r="11" spans="1:3" ht="15" x14ac:dyDescent="0.4">
      <c r="A11" s="6"/>
      <c r="B11" s="8"/>
      <c r="C11" s="7"/>
    </row>
    <row r="12" spans="1:3" ht="45" x14ac:dyDescent="0.4">
      <c r="A12" s="6"/>
      <c r="B12" s="8" t="s">
        <v>56</v>
      </c>
      <c r="C12" s="7"/>
    </row>
    <row r="13" spans="1:3" ht="15" x14ac:dyDescent="0.4">
      <c r="A13" s="6"/>
      <c r="B13" s="8"/>
      <c r="C13" s="7"/>
    </row>
    <row r="14" spans="1:3" ht="45" x14ac:dyDescent="0.4">
      <c r="A14" s="6"/>
      <c r="B14" s="8" t="s">
        <v>57</v>
      </c>
      <c r="C14" s="7"/>
    </row>
    <row r="15" spans="1:3" ht="15" x14ac:dyDescent="0.4">
      <c r="A15" s="6"/>
      <c r="B15" s="8"/>
      <c r="C15" s="7"/>
    </row>
    <row r="16" spans="1:3" ht="30" x14ac:dyDescent="0.4">
      <c r="A16" s="6"/>
      <c r="B16" s="8" t="s">
        <v>58</v>
      </c>
      <c r="C16" s="7"/>
    </row>
    <row r="17" spans="1:3" ht="15" x14ac:dyDescent="0.4">
      <c r="A17" s="6"/>
      <c r="B17" s="8"/>
      <c r="C17" s="7"/>
    </row>
    <row r="18" spans="1:3" ht="15" x14ac:dyDescent="0.4">
      <c r="A18" s="6"/>
      <c r="B18" s="9" t="s">
        <v>59</v>
      </c>
      <c r="C18" s="7"/>
    </row>
    <row r="19" spans="1:3" ht="15" x14ac:dyDescent="0.4">
      <c r="A19" s="6"/>
      <c r="B19" s="23" t="s">
        <v>50</v>
      </c>
      <c r="C19" s="7"/>
    </row>
    <row r="20" spans="1:3" ht="15" x14ac:dyDescent="0.4">
      <c r="A20" s="6"/>
      <c r="B20" s="10"/>
      <c r="C20" s="7"/>
    </row>
    <row r="21" spans="1:3" x14ac:dyDescent="0.35">
      <c r="A21" s="6"/>
      <c r="B21" s="6"/>
      <c r="C21" s="7"/>
    </row>
    <row r="22" spans="1:3" x14ac:dyDescent="0.35">
      <c r="A22" s="6"/>
      <c r="B22" s="6"/>
      <c r="C22" s="7"/>
    </row>
    <row r="23" spans="1:3" x14ac:dyDescent="0.35">
      <c r="A23" s="6"/>
      <c r="B23" s="6"/>
      <c r="C23" s="7"/>
    </row>
    <row r="24" spans="1:3" x14ac:dyDescent="0.35">
      <c r="A24" s="6"/>
      <c r="B24" s="6"/>
      <c r="C24" s="7"/>
    </row>
    <row r="25" spans="1:3" x14ac:dyDescent="0.35">
      <c r="A25" s="6"/>
      <c r="B25" s="6"/>
      <c r="C25" s="7"/>
    </row>
    <row r="26" spans="1:3" x14ac:dyDescent="0.35">
      <c r="A26" s="6"/>
      <c r="B26" s="6"/>
      <c r="C26" s="7"/>
    </row>
    <row r="27" spans="1:3" x14ac:dyDescent="0.35">
      <c r="A27" s="6"/>
      <c r="B27" s="6"/>
      <c r="C27" s="7"/>
    </row>
    <row r="28" spans="1:3" x14ac:dyDescent="0.35">
      <c r="A28" s="6"/>
      <c r="B28" s="6"/>
      <c r="C28" s="7"/>
    </row>
    <row r="29" spans="1:3" x14ac:dyDescent="0.35">
      <c r="A29" s="6"/>
      <c r="B29" s="6"/>
      <c r="C29" s="7"/>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4</vt:i4>
      </vt:variant>
    </vt:vector>
  </HeadingPairs>
  <TitlesOfParts>
    <vt:vector size="8" baseType="lpstr">
      <vt:lpstr>GanttChart</vt:lpstr>
      <vt:lpstr>GanttChartPro</vt:lpstr>
      <vt:lpstr>Help</vt:lpstr>
      <vt:lpstr>TermsOfUse</vt:lpstr>
      <vt:lpstr>GanttChart!Druckbereich</vt:lpstr>
      <vt:lpstr>GanttChartPro!Druckbereich</vt:lpstr>
      <vt:lpstr>GanttChart!Drucktitel</vt:lpstr>
      <vt:lpstr>GanttChart!prevWBS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Jan Oberst</cp:lastModifiedBy>
  <cp:lastPrinted>2025-11-24T12:57:20Z</cp:lastPrinted>
  <dcterms:created xsi:type="dcterms:W3CDTF">2010-06-09T16:05:03Z</dcterms:created>
  <dcterms:modified xsi:type="dcterms:W3CDTF">2026-01-07T13:55:28Z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ies>
</file>